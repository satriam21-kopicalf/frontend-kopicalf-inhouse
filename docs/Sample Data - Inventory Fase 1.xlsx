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" sheetId="1" r:id="rId5"/>
    <sheet state="visible" name="Template HUB CK " sheetId="2" r:id="rId6"/>
    <sheet state="visible" name="Template HUB WH" sheetId="3" r:id="rId7"/>
    <sheet state="visible" name="Template OUTLET" sheetId="4" r:id="rId8"/>
    <sheet state="visible" name="Template Daily SO" sheetId="5" r:id="rId9"/>
  </sheets>
  <definedNames>
    <definedName hidden="1" localSheetId="2" name="_xlnm._FilterDatabase">'Template HUB WH'!$A$3:$I$176</definedName>
    <definedName hidden="1" localSheetId="4" name="_xlnm._FilterDatabase">'Template Daily SO'!$A$8:$AA$23</definedName>
  </definedNames>
  <calcPr/>
</workbook>
</file>

<file path=xl/sharedStrings.xml><?xml version="1.0" encoding="utf-8"?>
<sst xmlns="http://schemas.openxmlformats.org/spreadsheetml/2006/main" count="2575" uniqueCount="882">
  <si>
    <t>Master Branch OUTLET</t>
  </si>
  <si>
    <t>Template Stock Opname &amp; Waste HUB CK</t>
  </si>
  <si>
    <t>Master Branch HUB WH</t>
  </si>
  <si>
    <t>Master Branch HUB CK</t>
  </si>
  <si>
    <t>No</t>
  </si>
  <si>
    <t>OUTLET ISI --&gt; OPNAME QTY</t>
  </si>
  <si>
    <t>Template Stock Opname &amp; Waste OUTLET</t>
  </si>
  <si>
    <t>Branch Name</t>
  </si>
  <si>
    <t>Template Stock Opname &amp; Waste HUB WH</t>
  </si>
  <si>
    <t>Kopi Calf Cipete Jakarta Selatan</t>
  </si>
  <si>
    <t>HUB WH YOGYAKARTA SETURAN</t>
  </si>
  <si>
    <t>HUB CK SURABAYA TUNJUNGAN</t>
  </si>
  <si>
    <t>Kopi Calf Gor Satria Purwokerto</t>
  </si>
  <si>
    <t>HUB WH SURABAYA TUNJUNGAN</t>
  </si>
  <si>
    <t>HUB CK SURABAYA SIDOARJO</t>
  </si>
  <si>
    <t>Product Name</t>
  </si>
  <si>
    <t>Product Code</t>
  </si>
  <si>
    <t>Category</t>
  </si>
  <si>
    <t>Sub Category</t>
  </si>
  <si>
    <t>Kopi Calf Ijen Malang</t>
  </si>
  <si>
    <t>Unit</t>
  </si>
  <si>
    <t>HUB WH SURABAYA SIDOARJO</t>
  </si>
  <si>
    <t>Opname Qty</t>
  </si>
  <si>
    <t>Opname Value</t>
  </si>
  <si>
    <t>HUB CK SUPRATMAN</t>
  </si>
  <si>
    <t>Product</t>
  </si>
  <si>
    <t>Kopi Calf Jatiwarna</t>
  </si>
  <si>
    <t>HUB WH SURABAYA MAYJEN SUNGKONO</t>
  </si>
  <si>
    <t>Opname Value PER UNIT</t>
  </si>
  <si>
    <t>HUB CK SOLO MANAHAN</t>
  </si>
  <si>
    <t>VALUATION</t>
  </si>
  <si>
    <t>ALUMUNIUM FOIL OX 100 ( CUP PUDDING )</t>
  </si>
  <si>
    <t>PCPK-00001</t>
  </si>
  <si>
    <t>Kopi Calf Kartini Sidoarjo</t>
  </si>
  <si>
    <t>HUB WH SURABAYA MANYAR</t>
  </si>
  <si>
    <t>PACKAGING</t>
  </si>
  <si>
    <t>PACKAGING KITCHEN</t>
  </si>
  <si>
    <t>HUB CK SEMARANG PONCOL</t>
  </si>
  <si>
    <t>PCS</t>
  </si>
  <si>
    <t>BEANS AUTHENTIC</t>
  </si>
  <si>
    <t>RBBA-00001</t>
  </si>
  <si>
    <t>Roasted Beans</t>
  </si>
  <si>
    <t>Kopi Calf Kediri</t>
  </si>
  <si>
    <t>KG@1000GR</t>
  </si>
  <si>
    <t>HUB WH SOLO MANAHAN</t>
  </si>
  <si>
    <t>PACK@100PCS</t>
  </si>
  <si>
    <t>HUB CK PURWOKERTO</t>
  </si>
  <si>
    <t>AYAM PAHA FILLET</t>
  </si>
  <si>
    <t>RMMT-00003</t>
  </si>
  <si>
    <t>Kopi Calf Manahan Solo</t>
  </si>
  <si>
    <t>RAW MATERIAL</t>
  </si>
  <si>
    <t>MEAT</t>
  </si>
  <si>
    <t>HUB WH SEMARANG PONCOL</t>
  </si>
  <si>
    <t>GR</t>
  </si>
  <si>
    <t>HUB CK PURWAKARTA</t>
  </si>
  <si>
    <t>Kopi Calf Mancur Bogor</t>
  </si>
  <si>
    <t>HUB WH PURWOKERTO</t>
  </si>
  <si>
    <t>BAKING POWDER</t>
  </si>
  <si>
    <t>RMKC-00001</t>
  </si>
  <si>
    <t>HUB CK PEKALONGAN</t>
  </si>
  <si>
    <t>RAW MATERIAL FOOD</t>
  </si>
  <si>
    <t>KITCHEN</t>
  </si>
  <si>
    <t>PCS@500GR</t>
  </si>
  <si>
    <t>Kopi Calf Pekalongan</t>
  </si>
  <si>
    <t>HUB WH PURWAKARTA</t>
  </si>
  <si>
    <t>HUB CK MALANG IJEN ARJUNO</t>
  </si>
  <si>
    <t>BAWANG BOMBAY</t>
  </si>
  <si>
    <t>BISCUIT BISKUAT 152GR</t>
  </si>
  <si>
    <t>RMVG-00003</t>
  </si>
  <si>
    <t>RMDG-00001</t>
  </si>
  <si>
    <t>VEGETABLE</t>
  </si>
  <si>
    <t>Kopi Calf Poncol Semarang</t>
  </si>
  <si>
    <t>HUB WH PROBOLINGGO</t>
  </si>
  <si>
    <t>HUB CK KEDIRI</t>
  </si>
  <si>
    <t>BAWANG MERAH KUPAS</t>
  </si>
  <si>
    <t>Kopi Calf Renon Bali</t>
  </si>
  <si>
    <t>RMVG-00001</t>
  </si>
  <si>
    <t>HUB WH PEKALONGAN</t>
  </si>
  <si>
    <t>Raw Material</t>
  </si>
  <si>
    <t>DRY GOODS</t>
  </si>
  <si>
    <t>HUB CK JOGJA JAKAL</t>
  </si>
  <si>
    <t>PACK@152GR</t>
  </si>
  <si>
    <t>Kopi Calf Soehat Malang</t>
  </si>
  <si>
    <t>BEANS COLD BREW</t>
  </si>
  <si>
    <t>HUB WH MOJOKERTO</t>
  </si>
  <si>
    <t>RBCB-00001</t>
  </si>
  <si>
    <t>BAWANG PUTIH KUPAS</t>
  </si>
  <si>
    <t>HUB CK CIREBON</t>
  </si>
  <si>
    <t>RMVG-00002</t>
  </si>
  <si>
    <t>BISCUIT OREO 442GR</t>
  </si>
  <si>
    <t>RMDG-00002</t>
  </si>
  <si>
    <t>PACK@442GR</t>
  </si>
  <si>
    <t>Kopi Calf Supratman Bandung</t>
  </si>
  <si>
    <t>HUB WH MALANG SOEHAT</t>
  </si>
  <si>
    <t>HUB CK CIKARANG JABABEKA</t>
  </si>
  <si>
    <t>BISCUIT REGAL 230GR</t>
  </si>
  <si>
    <t>RMDG-00003</t>
  </si>
  <si>
    <t>Kopi Calf To Go Ahmad Dahlan</t>
  </si>
  <si>
    <t>HUB WH MALANG IJEN ARJUNO</t>
  </si>
  <si>
    <t>PACK@230GR</t>
  </si>
  <si>
    <t>HUB CK BOGOR CIBINONG</t>
  </si>
  <si>
    <t>BEANS PREMIUM</t>
  </si>
  <si>
    <t>Kopi Calf To Go Arteri</t>
  </si>
  <si>
    <t>RBAP-00001</t>
  </si>
  <si>
    <t>HUB WH MADIUN</t>
  </si>
  <si>
    <t>ARABICA PREMIUM</t>
  </si>
  <si>
    <t>BLUE BAND COOKIES &amp; CAKE 200GR</t>
  </si>
  <si>
    <t>HUB CK BANTEN SERANG</t>
  </si>
  <si>
    <t>RMKC-00003</t>
  </si>
  <si>
    <t>PCS@200GR</t>
  </si>
  <si>
    <t>Kopi Calf To Go Bintaro Sektor 2</t>
  </si>
  <si>
    <t>BEEF BRATWURST</t>
  </si>
  <si>
    <t>HUB WH KEDIRI</t>
  </si>
  <si>
    <t>RMMT-00006</t>
  </si>
  <si>
    <t>HUB CK BANDUNG NEW LENGKONG</t>
  </si>
  <si>
    <t>BOTOL KALE 1000ML</t>
  </si>
  <si>
    <t>PCPB-00001</t>
  </si>
  <si>
    <t>BEANS REGULER</t>
  </si>
  <si>
    <t>RBRR-00001</t>
  </si>
  <si>
    <t>PACKAGING BAR</t>
  </si>
  <si>
    <t>ROBUSTA REGULER</t>
  </si>
  <si>
    <t>Kopi Calf To Go Bintaro Sektor 7</t>
  </si>
  <si>
    <t>HUB WH JAKARTA CIPETE</t>
  </si>
  <si>
    <t>HUB CK BALI RENON</t>
  </si>
  <si>
    <t>BEEF SHORTPLATE</t>
  </si>
  <si>
    <t>RMMT-00001</t>
  </si>
  <si>
    <t>BUTTER UNSALTED ORCHID</t>
  </si>
  <si>
    <t>Kopi Calf To Go BTR</t>
  </si>
  <si>
    <t>RMKC-00045</t>
  </si>
  <si>
    <t>HUB WH JAKARTA CEMPAKA PUTIH</t>
  </si>
  <si>
    <t>ESPRESSO PREMIUM</t>
  </si>
  <si>
    <t>HUB CK BALI GATOT SUBROTO</t>
  </si>
  <si>
    <t>ESPR-00001</t>
  </si>
  <si>
    <t>WIP</t>
  </si>
  <si>
    <t>Espresso</t>
  </si>
  <si>
    <t>BERAS NEW</t>
  </si>
  <si>
    <t>RMKC-00042</t>
  </si>
  <si>
    <t>Kopi Calf To Go Buah Batu</t>
  </si>
  <si>
    <t>HUB WH CIREBON</t>
  </si>
  <si>
    <t>CABLE TIES (NEW)</t>
  </si>
  <si>
    <t>INSU-00005</t>
  </si>
  <si>
    <t>KITCHENWARE &amp; SUPPLIES</t>
  </si>
  <si>
    <t>Kopi Calf To Go Ceger Bintaro</t>
  </si>
  <si>
    <t>ESPRESSO REGULER</t>
  </si>
  <si>
    <t>HUB WH BOGOR MANCUR</t>
  </si>
  <si>
    <t>ESPR-00002</t>
  </si>
  <si>
    <t>COCONUT WATER</t>
  </si>
  <si>
    <t>RMBV-00027</t>
  </si>
  <si>
    <t>BEVERAGE</t>
  </si>
  <si>
    <t>Kopi Calf To Go Cempaka Putih</t>
  </si>
  <si>
    <t>PCS@1000GR</t>
  </si>
  <si>
    <t>HUB WH BOGOR CIBINONG</t>
  </si>
  <si>
    <t>Kopi Calf To Go Ciater BSD</t>
  </si>
  <si>
    <t>HUB WH BANTEN SERANG</t>
  </si>
  <si>
    <t>COUNTRY MAPLE SYRUP 710ML</t>
  </si>
  <si>
    <t>RMKC-00005</t>
  </si>
  <si>
    <t>PCS@710GR</t>
  </si>
  <si>
    <t>Kopi Calf To Go Cibinong</t>
  </si>
  <si>
    <t>HUB WH BANTEN CILEGON</t>
  </si>
  <si>
    <t>CREAMER (MAX) 500GR</t>
  </si>
  <si>
    <t>RMBV-00002</t>
  </si>
  <si>
    <t>Kopi Calf To Go Cideng</t>
  </si>
  <si>
    <t>HUB WH BANDUNG SUPRATMAN</t>
  </si>
  <si>
    <t>Kopi Calf To Go Cikarang</t>
  </si>
  <si>
    <t>CUP ES</t>
  </si>
  <si>
    <t>HUB WH BANDUNG NEW LENGKONG</t>
  </si>
  <si>
    <t>PCPB-00003</t>
  </si>
  <si>
    <t>Kopi Calf To Go Cikupa Tangerang</t>
  </si>
  <si>
    <t>HUB WH BANDUNG CIMAHI</t>
  </si>
  <si>
    <t>BOLOGNESE SAUCE 500GR</t>
  </si>
  <si>
    <t>RMKC-00004</t>
  </si>
  <si>
    <t>CUP FROSTED</t>
  </si>
  <si>
    <t>PCPB-00004</t>
  </si>
  <si>
    <t>Kopi Calf To Go Ciledug</t>
  </si>
  <si>
    <t>HUB WH BALI DENPASAR</t>
  </si>
  <si>
    <t>CUP HOT 8 OZ</t>
  </si>
  <si>
    <t>PCPB-00005</t>
  </si>
  <si>
    <t>Kopi Calf To Go Cilegon</t>
  </si>
  <si>
    <t>BROWNIES</t>
  </si>
  <si>
    <t>RMFR-00001</t>
  </si>
  <si>
    <t>FRESH</t>
  </si>
  <si>
    <t>CUP HOT 8 OZ DOUBLE WALL</t>
  </si>
  <si>
    <t>PCPB-00029</t>
  </si>
  <si>
    <t>Kopi Calf To Go Cimahi</t>
  </si>
  <si>
    <t>Kopi Calf To Go Cinere</t>
  </si>
  <si>
    <t>CUP JEFFERSON &amp; TEA</t>
  </si>
  <si>
    <t>PCPB-00006</t>
  </si>
  <si>
    <t>Kopi Calf To Go Cipayung</t>
  </si>
  <si>
    <t>CUP SAUCE 100ML</t>
  </si>
  <si>
    <t>PCAP-00003</t>
  </si>
  <si>
    <t>CABE HIJAU BESAR</t>
  </si>
  <si>
    <t>RMVG-00004</t>
  </si>
  <si>
    <t>ADDITIONAL PACKAGING</t>
  </si>
  <si>
    <t>Kopi Calf To Go Ciputat</t>
  </si>
  <si>
    <t>Kopi Calf To Go Citra Garden</t>
  </si>
  <si>
    <t>CUP SAUCE 25ML</t>
  </si>
  <si>
    <t>CABE MERAH KERITING</t>
  </si>
  <si>
    <t>PCAP-00002</t>
  </si>
  <si>
    <t>RMVG-00005</t>
  </si>
  <si>
    <t>Kopi Calf To Go Condet</t>
  </si>
  <si>
    <t>CUP SAUCE 35ML</t>
  </si>
  <si>
    <t>CABE RAWIT MERAH</t>
  </si>
  <si>
    <t>PCPK-00002</t>
  </si>
  <si>
    <t>RMVG-00006</t>
  </si>
  <si>
    <t>Kopi Calf To Go Depok 2 Tengah</t>
  </si>
  <si>
    <t>Kopi Calf To Go Depok Beji</t>
  </si>
  <si>
    <t>CUP SEALER (NEW)</t>
  </si>
  <si>
    <t>INSU-00008</t>
  </si>
  <si>
    <t>KITCHEN &amp; SUPPLIES (NEW)</t>
  </si>
  <si>
    <t>ROLL@1000PCS</t>
  </si>
  <si>
    <t>Kopi Calf To Go Fatmawati</t>
  </si>
  <si>
    <t>CHEESE MOZZARELLA BLOCK</t>
  </si>
  <si>
    <t>CUP SEALER KECIL</t>
  </si>
  <si>
    <t>RMFR-00002</t>
  </si>
  <si>
    <t>INSU-00011</t>
  </si>
  <si>
    <t>Kopi Calf To Go Gading Serpong</t>
  </si>
  <si>
    <t>ROLL@800PCS</t>
  </si>
  <si>
    <t>Kopi Calf To Go Gajah Mada</t>
  </si>
  <si>
    <t>CLEO BOTOL 550ML</t>
  </si>
  <si>
    <t>RMBV-00023</t>
  </si>
  <si>
    <t>DRIED ORANGE 500GR</t>
  </si>
  <si>
    <t>RMDG-00008</t>
  </si>
  <si>
    <t>BTL</t>
  </si>
  <si>
    <t>PACK@500GR</t>
  </si>
  <si>
    <t>Kopi Calf To Go Galaxy</t>
  </si>
  <si>
    <t>DRIED PINEAPPLE 500GR</t>
  </si>
  <si>
    <t>RMDG-00007</t>
  </si>
  <si>
    <t>Kopi Calf To Go Gatot Subroto Bali</t>
  </si>
  <si>
    <t>Kopi Calf To Go Graha Bintaro</t>
  </si>
  <si>
    <t>DRIED ROSELLA 500GR</t>
  </si>
  <si>
    <t>RMDG-00006</t>
  </si>
  <si>
    <t>Kopi Calf To Go Halim Jaktim</t>
  </si>
  <si>
    <t>EARL GREY LEAVES</t>
  </si>
  <si>
    <t>RMDG-00009</t>
  </si>
  <si>
    <t>Kopi Calf To Go Harapan Indah</t>
  </si>
  <si>
    <t>PACK@1000GR</t>
  </si>
  <si>
    <t>Kopi Calf To Go Industri Cikarang</t>
  </si>
  <si>
    <t>EVAPORATED MILK FN 380GR</t>
  </si>
  <si>
    <t>RMBV-00004</t>
  </si>
  <si>
    <t>PCS@380GR</t>
  </si>
  <si>
    <t>Kopi Calf To Go Jakal</t>
  </si>
  <si>
    <t>FLAME GUN</t>
  </si>
  <si>
    <t>KSUK-00008</t>
  </si>
  <si>
    <t>Kopi Calf To Go Jatibening</t>
  </si>
  <si>
    <t>FRESHMILK GREENFIELDS 1000ML</t>
  </si>
  <si>
    <t>RMFR-00009</t>
  </si>
  <si>
    <t>Kopi Calf To Go Jatikramat</t>
  </si>
  <si>
    <t>Kopi Calf To Go Jatiwaringin</t>
  </si>
  <si>
    <t>GAS TORCH</t>
  </si>
  <si>
    <t>EGGS-00001</t>
  </si>
  <si>
    <t>Kopi Calf To Go Joglo</t>
  </si>
  <si>
    <t>GOLDENFIL BLUEBERRY 1000GR</t>
  </si>
  <si>
    <t>RMBV-00005</t>
  </si>
  <si>
    <t>Kopi Calf To Go Kaliabang</t>
  </si>
  <si>
    <t>Kopi Calf To Go Karawaci Borobudur</t>
  </si>
  <si>
    <t>GOLDENFIL CHOCO 1000GR</t>
  </si>
  <si>
    <t>RMBV-00006</t>
  </si>
  <si>
    <t>Kopi Calf To Go Kayu Putih</t>
  </si>
  <si>
    <t>GOLDENFIL MATCHA 1000GR</t>
  </si>
  <si>
    <t>RMBV-00008</t>
  </si>
  <si>
    <t>Kopi Calf To Go Kayuringin</t>
  </si>
  <si>
    <t>Kopi Calf To Go Kelapa Dua</t>
  </si>
  <si>
    <t>GOLDENFIL STRAWBERRY 1000GR</t>
  </si>
  <si>
    <t>RMBV-00009</t>
  </si>
  <si>
    <t>CUP SAUCE 60ML</t>
  </si>
  <si>
    <t>PCPK-00003</t>
  </si>
  <si>
    <t>Kopi Calf To Go Kelapa Gading</t>
  </si>
  <si>
    <t>GOLDENFIL TIRAMISU 1000GR</t>
  </si>
  <si>
    <t>RMBV-00010</t>
  </si>
  <si>
    <t>Kopi Calf To Go Kemayoran</t>
  </si>
  <si>
    <t>GULA AREN 1300GR</t>
  </si>
  <si>
    <t>RMBV-00025</t>
  </si>
  <si>
    <t>Kopi Calf To Go Kopo Bandung</t>
  </si>
  <si>
    <t>BTL@1300GR</t>
  </si>
  <si>
    <t>Kopi Calf To Go Kramat Kwitang</t>
  </si>
  <si>
    <t>GULA KELAPA PALMARIE 1300GR</t>
  </si>
  <si>
    <t>RMBV-00032</t>
  </si>
  <si>
    <t>DAUN JERUK</t>
  </si>
  <si>
    <t>Kopi Calf To Go KS Tubun</t>
  </si>
  <si>
    <t>RMVG-00007</t>
  </si>
  <si>
    <t>GULA MERAH PALMARIE 1300GR</t>
  </si>
  <si>
    <t>RMBV-00033</t>
  </si>
  <si>
    <t>Kopi Calf To Go Lenteng Agung</t>
  </si>
  <si>
    <t>DIMSUM</t>
  </si>
  <si>
    <t>RMFR-00003</t>
  </si>
  <si>
    <t>Kopi Calf To Go Mangunjaya</t>
  </si>
  <si>
    <t>GULA PASIR 1000GR</t>
  </si>
  <si>
    <t>RMKC-00007</t>
  </si>
  <si>
    <t>DIMSUM NORI</t>
  </si>
  <si>
    <t>Kopi Calf To Go Manyar Surabaya</t>
  </si>
  <si>
    <t>RMFR-00068</t>
  </si>
  <si>
    <t>GULANAS SIMPLE SYRUP 1000ML</t>
  </si>
  <si>
    <t>RMSY-00001</t>
  </si>
  <si>
    <t>SYRUP</t>
  </si>
  <si>
    <t>BTL@1270GR</t>
  </si>
  <si>
    <t>Kopi Calf To Go Mayestik</t>
  </si>
  <si>
    <t>HAMPERS KALENG</t>
  </si>
  <si>
    <t>PCAP-00004</t>
  </si>
  <si>
    <t>Kopi Calf To Go Mayjen Sungkono</t>
  </si>
  <si>
    <t>Kopi Calf To Go Mojokerto</t>
  </si>
  <si>
    <t>HAND GLOVES (NEW)</t>
  </si>
  <si>
    <t>INSU-00010</t>
  </si>
  <si>
    <t>BOX@100PCS</t>
  </si>
  <si>
    <t>Kopi Calf To Go Narogong</t>
  </si>
  <si>
    <t>Kopi Calf To Go New Lengkong</t>
  </si>
  <si>
    <t>ICE CREAM VANILLA NEW</t>
  </si>
  <si>
    <t>RMFR-00064</t>
  </si>
  <si>
    <t>PAIL@4000G (8L)</t>
  </si>
  <si>
    <t>Kopi Calf To Go Otista</t>
  </si>
  <si>
    <t>ICE HOT CREAMER 500ML</t>
  </si>
  <si>
    <t>RMFR-00014</t>
  </si>
  <si>
    <t>Kopi Calf To Go Pademangan</t>
  </si>
  <si>
    <t>PCS@525GR</t>
  </si>
  <si>
    <t>Kopi Calf To Go Pakansari Bogor</t>
  </si>
  <si>
    <t>JAM NUTELLA 1000GR</t>
  </si>
  <si>
    <t>RMBV-00012</t>
  </si>
  <si>
    <t>JAR@1000GR</t>
  </si>
  <si>
    <t>Kopi Calf To Go Pamulang</t>
  </si>
  <si>
    <t>JUICE APPLE 946ML</t>
  </si>
  <si>
    <t>RMJC-00005</t>
  </si>
  <si>
    <t>Kopi Calf To Go Pancoran</t>
  </si>
  <si>
    <t>JUICE</t>
  </si>
  <si>
    <t>PCS@950GR</t>
  </si>
  <si>
    <t>Kopi Calf To Go Pasar Lama</t>
  </si>
  <si>
    <t>JUICE SANQUICK ORANGE</t>
  </si>
  <si>
    <t>FRENCH FRIES STRAIGHT CUT 2000GR</t>
  </si>
  <si>
    <t>RMJC-00008</t>
  </si>
  <si>
    <t>RMFR-00005</t>
  </si>
  <si>
    <t>PCS@850GR</t>
  </si>
  <si>
    <t>Kopi Calf To Go Pejaten</t>
  </si>
  <si>
    <t>FRESH MILK DIAMOND 946ML</t>
  </si>
  <si>
    <t>JURUS 1000GR</t>
  </si>
  <si>
    <t>RMFR-00008</t>
  </si>
  <si>
    <t>RMDG-00004</t>
  </si>
  <si>
    <t>Kopi Calf To Go Pengasinan</t>
  </si>
  <si>
    <t>Kopi Calf To Go Permata Hijau</t>
  </si>
  <si>
    <t>KALENG 250ML</t>
  </si>
  <si>
    <t>PCPB-00007</t>
  </si>
  <si>
    <t>Kopi Calf To Go Pinang Ranti</t>
  </si>
  <si>
    <t>GARAM</t>
  </si>
  <si>
    <t>RMKC-00006</t>
  </si>
  <si>
    <t>KALENG 330ML</t>
  </si>
  <si>
    <t>PCPB-00008</t>
  </si>
  <si>
    <t>Kopi Calf To Go Pondok Bambu</t>
  </si>
  <si>
    <t>Kopi Calf To Go Pondok Kelapa</t>
  </si>
  <si>
    <t>KECAP INGGRIS</t>
  </si>
  <si>
    <t>RMKC-00046</t>
  </si>
  <si>
    <t>BTL@600GR</t>
  </si>
  <si>
    <t>Kopi Calf To Go Poris Tangerang</t>
  </si>
  <si>
    <t>KEJU CHEDDAR 2000GR</t>
  </si>
  <si>
    <t>RMKC-00009</t>
  </si>
  <si>
    <t>PACK@2000GR</t>
  </si>
  <si>
    <t>Kopi Calf To Go Pulo Jahe</t>
  </si>
  <si>
    <t>GOLDENFIL HAZELNUT 1000GR</t>
  </si>
  <si>
    <t>RMBV-00007</t>
  </si>
  <si>
    <t>KEJU SPREAD</t>
  </si>
  <si>
    <t>Kopi Calf To Go Puri Kembangan</t>
  </si>
  <si>
    <t>RMKC-00056</t>
  </si>
  <si>
    <t>PCS@2000GR</t>
  </si>
  <si>
    <t>Kopi Calf To Go Purwakarta</t>
  </si>
  <si>
    <t>KERTAS STRUK 58X30MM (NEW)</t>
  </si>
  <si>
    <t>INSU-00001</t>
  </si>
  <si>
    <t>Kopi Calf To Go Raden Inten</t>
  </si>
  <si>
    <t>KERTAS STRUK 80X80MM (NEW)</t>
  </si>
  <si>
    <t>INSU-00002</t>
  </si>
  <si>
    <t>Kopi Calf To Go Serang</t>
  </si>
  <si>
    <t>KNORR CHICKEN POWDER 1000GR</t>
  </si>
  <si>
    <t>RMKC-00011</t>
  </si>
  <si>
    <t>Kopi Calf To Go Setiabudi Dr Satrio</t>
  </si>
  <si>
    <t>GROUND BEEF</t>
  </si>
  <si>
    <t>Kopi Calf To Go Setiabudi Karet</t>
  </si>
  <si>
    <t>RMMT-00002</t>
  </si>
  <si>
    <t>LUNCH BOX M</t>
  </si>
  <si>
    <t>PCPK-00005</t>
  </si>
  <si>
    <t>Kopi Calf To Go Seturan Baru</t>
  </si>
  <si>
    <t>LUNCH BOX S</t>
  </si>
  <si>
    <t>PCPK-00007</t>
  </si>
  <si>
    <t>Kopi Calf To Go Singosari Semarang</t>
  </si>
  <si>
    <t>MAYONAISE MILD</t>
  </si>
  <si>
    <t>RMKC-00053</t>
  </si>
  <si>
    <t>Kopi Calf To Go Slamet Riyadi Solo</t>
  </si>
  <si>
    <t>Kopi Calf To Go Surya Sumantri</t>
  </si>
  <si>
    <t>MINYAK GORENG 18000GR</t>
  </si>
  <si>
    <t>RMKC-00014</t>
  </si>
  <si>
    <t>JRG@18000GR</t>
  </si>
  <si>
    <t>Kopi Calf To Go Tambun</t>
  </si>
  <si>
    <t>Kopi Calf To Go Tanah Kusir</t>
  </si>
  <si>
    <t>MINYAK GORENG NEW</t>
  </si>
  <si>
    <t>RMCK-00043</t>
  </si>
  <si>
    <t>Kopi Calf To Go Tanjung Duren</t>
  </si>
  <si>
    <t>PAPER BAG LARGE BIRU</t>
  </si>
  <si>
    <t>PCAP-00001</t>
  </si>
  <si>
    <t>Kopi Calf To Go TB Simatupang</t>
  </si>
  <si>
    <t>Kopi Calf To Go Tebet</t>
  </si>
  <si>
    <t>PAPER BAG PUTIH NEW</t>
  </si>
  <si>
    <t>INSU-00043</t>
  </si>
  <si>
    <t>Kopi Calf To Go Tembalang</t>
  </si>
  <si>
    <t>PLASTIK KLIP 20X12CM (NEW)</t>
  </si>
  <si>
    <t>INSU-0039</t>
  </si>
  <si>
    <t>Kopi Calf To Go Tendean</t>
  </si>
  <si>
    <t>Kopi Calf To Go Tlogosari Semarang</t>
  </si>
  <si>
    <t>PLASTIK TAKE AWAY 17 (NEW)</t>
  </si>
  <si>
    <t>INSU-00012</t>
  </si>
  <si>
    <t>PACK@1KG</t>
  </si>
  <si>
    <t>Kopi Calf To Go Tuparev Cirebon</t>
  </si>
  <si>
    <t>PLASTIK TAKE AWAY 24 (NEW)</t>
  </si>
  <si>
    <t>INSU-00013</t>
  </si>
  <si>
    <t>JAHE</t>
  </si>
  <si>
    <t>RMKC-00048</t>
  </si>
  <si>
    <t>Kopi Calf To Go Tuparev Karawang</t>
  </si>
  <si>
    <t>PLASTIK TAKE AWAY 28 (NEW)</t>
  </si>
  <si>
    <t>INSU-00014</t>
  </si>
  <si>
    <t>Kopi Calf To Go Viktor Puspitek</t>
  </si>
  <si>
    <t>PLASTIK TAKE AWAY 35 (NEW)</t>
  </si>
  <si>
    <t>JAMUR CHAMPIGNON</t>
  </si>
  <si>
    <t>INSU-00015</t>
  </si>
  <si>
    <t>RMVG-00008</t>
  </si>
  <si>
    <t>Kopi Calf To Go Wijaya</t>
  </si>
  <si>
    <t>PLASTIK TAKEAWAY BW UK 15</t>
  </si>
  <si>
    <t>PABW-0001</t>
  </si>
  <si>
    <t>PCS@250GR</t>
  </si>
  <si>
    <t>Kopi Calf Tunjungan Surabaya</t>
  </si>
  <si>
    <t>PLASTIK TAKEAWAY BW UK 20</t>
  </si>
  <si>
    <t>JUICE BLUEBERRY 946ML</t>
  </si>
  <si>
    <t>PABW-0002</t>
  </si>
  <si>
    <t>RMJC-00002</t>
  </si>
  <si>
    <t>PLASTIK TAKEAWAY BW UK 25</t>
  </si>
  <si>
    <t>JUICE CRANBERRY 946ML</t>
  </si>
  <si>
    <t>PABW-0003</t>
  </si>
  <si>
    <t>RMJC-00006</t>
  </si>
  <si>
    <t>PLASTIK TAKEAWAY BW UK 30</t>
  </si>
  <si>
    <t>PABW-0004</t>
  </si>
  <si>
    <t>JUICE GUAVA 946ML</t>
  </si>
  <si>
    <t>RMJC-00001</t>
  </si>
  <si>
    <t>PLASTIK TAKEAWAY BW UK 35</t>
  </si>
  <si>
    <t>PABW-0005</t>
  </si>
  <si>
    <t>JUICE MANGO 946ML</t>
  </si>
  <si>
    <t>RMJC-00007</t>
  </si>
  <si>
    <t>PLASTIK WRAPPING 30CMX30M (NEW)</t>
  </si>
  <si>
    <t>INSU-00016</t>
  </si>
  <si>
    <t>JUICE ORANGE 946ML</t>
  </si>
  <si>
    <t>RMJC-00004</t>
  </si>
  <si>
    <t>ROLL</t>
  </si>
  <si>
    <t>PLASTIK WRAPPING 40X500M (NEW)</t>
  </si>
  <si>
    <t>INSU-00023</t>
  </si>
  <si>
    <t>POWDER APPLE TEA 1000GR</t>
  </si>
  <si>
    <t>RMPD-00001</t>
  </si>
  <si>
    <t>POWDER</t>
  </si>
  <si>
    <t>POWDER CHILLI</t>
  </si>
  <si>
    <t>RMKC-00052</t>
  </si>
  <si>
    <t>POWDER CHILLI FLAKE 1000GR</t>
  </si>
  <si>
    <t>RMKC-00016</t>
  </si>
  <si>
    <t>KECAP BANGO 6200GR</t>
  </si>
  <si>
    <t>POWDER COKLAT TR 1000GR</t>
  </si>
  <si>
    <t>RMKC-00008</t>
  </si>
  <si>
    <t>RMPD-00002</t>
  </si>
  <si>
    <t>POWDER CREAM CHEESE 1000GR</t>
  </si>
  <si>
    <t>RMPD-00003</t>
  </si>
  <si>
    <t>POWDER DRIPP MATCHA 760GR</t>
  </si>
  <si>
    <t>RMPD-00013</t>
  </si>
  <si>
    <t>PACK@760GR</t>
  </si>
  <si>
    <t>POWDER FRAPPE DENALI 800GR</t>
  </si>
  <si>
    <t>RMPD-00004</t>
  </si>
  <si>
    <t>PACK@800GR</t>
  </si>
  <si>
    <t>POWDER GELATIN 1000GR</t>
  </si>
  <si>
    <t>RMKC-00017</t>
  </si>
  <si>
    <t>KIKKOMAN SHOYU SAUCE 2000ML</t>
  </si>
  <si>
    <t>POWDER GENOVA MACCHIATO 1000GR</t>
  </si>
  <si>
    <t>RMKC-00010</t>
  </si>
  <si>
    <t>RMPD-00005</t>
  </si>
  <si>
    <t>POWDER GENOVA MACCHIATO 800GR NEW</t>
  </si>
  <si>
    <t>RMPD-00014</t>
  </si>
  <si>
    <t>KOEPOE - KOEPOE VANILLA PASTE 1000ML</t>
  </si>
  <si>
    <t>RMKC-00012</t>
  </si>
  <si>
    <t>POWDER KERRY CHEESE 1000GR</t>
  </si>
  <si>
    <t>RMKC-00018</t>
  </si>
  <si>
    <t>KULIT SPRING ROLL</t>
  </si>
  <si>
    <t>RMKC-00051</t>
  </si>
  <si>
    <t>POWDER LA KREIVA CRUMBLE 2500GR</t>
  </si>
  <si>
    <t>RMPD-00006</t>
  </si>
  <si>
    <t>PACK@2500GR</t>
  </si>
  <si>
    <t>POWDER MASTERISTA MATCHA 1000GR</t>
  </si>
  <si>
    <t>LIPTON EARL GREY</t>
  </si>
  <si>
    <t>RMPD-00009</t>
  </si>
  <si>
    <t>RMBV-00021</t>
  </si>
  <si>
    <t>LUNCH BOX L</t>
  </si>
  <si>
    <t>POWDER MULTIBEV TARO 1KG</t>
  </si>
  <si>
    <t>PCPK-00004</t>
  </si>
  <si>
    <t>RMPD-00015</t>
  </si>
  <si>
    <t>POWDER STIR UP TIRAMISU 1000GR</t>
  </si>
  <si>
    <t>RMPD-00011</t>
  </si>
  <si>
    <t>POWDER TEH TARIK MAMIO</t>
  </si>
  <si>
    <t>RMPD-00016</t>
  </si>
  <si>
    <t>POWDER TIRAMISU 1000GR</t>
  </si>
  <si>
    <t>RMPD-00012</t>
  </si>
  <si>
    <t>MAYONNAISE MAESTRO 1000ML</t>
  </si>
  <si>
    <t>RMKC-00013</t>
  </si>
  <si>
    <t>RAMOE SODA 330ML</t>
  </si>
  <si>
    <t>RMBV-00018</t>
  </si>
  <si>
    <t>BTL@300GR</t>
  </si>
  <si>
    <t>RICH GOLD LABEL 907ML</t>
  </si>
  <si>
    <t>RMFR-00017</t>
  </si>
  <si>
    <t>RMKC-00043</t>
  </si>
  <si>
    <t>ROTI PANDAN</t>
  </si>
  <si>
    <t>RMFR-00018</t>
  </si>
  <si>
    <t>PACK@6PCS</t>
  </si>
  <si>
    <t>SAUCE DAVINCI BUTTERSCOTCH 2000ML</t>
  </si>
  <si>
    <t>RMSC-00001</t>
  </si>
  <si>
    <t>SAUCE</t>
  </si>
  <si>
    <t>BTL@2480GR</t>
  </si>
  <si>
    <t>SAUCE DAVINCI CARAMEL 2000ML</t>
  </si>
  <si>
    <t>RMSC-00002</t>
  </si>
  <si>
    <t>PAPER BAG PUTIH SEDANG</t>
  </si>
  <si>
    <t>INSU-00040</t>
  </si>
  <si>
    <t>SAUCE GULANAS HONEY LEMON 700GR</t>
  </si>
  <si>
    <t>RMSC-00003</t>
  </si>
  <si>
    <t>PISANG KEPOK</t>
  </si>
  <si>
    <t>JAR@700GR</t>
  </si>
  <si>
    <t>RMVG-00009</t>
  </si>
  <si>
    <t>KG</t>
  </si>
  <si>
    <t>SAUCE GULANAS HONEY PINEAPPLE 700GR</t>
  </si>
  <si>
    <t>RMSC-00004</t>
  </si>
  <si>
    <t>PLASTIK 1/2 KG (NEW)</t>
  </si>
  <si>
    <t>PCS@700GR</t>
  </si>
  <si>
    <t>INSU-00025</t>
  </si>
  <si>
    <t>PACK</t>
  </si>
  <si>
    <t>SAUCE MENTAI 1000GR</t>
  </si>
  <si>
    <t>RMKC-00023</t>
  </si>
  <si>
    <t>PLASTIK 1/4  (NEW)</t>
  </si>
  <si>
    <t>INSU-00027</t>
  </si>
  <si>
    <t>SAUCE NANBAN</t>
  </si>
  <si>
    <t>RMKC-00047</t>
  </si>
  <si>
    <t>PLASTIK 1KG (NEW)</t>
  </si>
  <si>
    <t>INSU-00026</t>
  </si>
  <si>
    <t>PCS@1200GR</t>
  </si>
  <si>
    <t>SAUCE VOYA BUTTERSCOTCH 750ML</t>
  </si>
  <si>
    <t>RMSC-00005</t>
  </si>
  <si>
    <t>BTL@960GR</t>
  </si>
  <si>
    <t>SAUCE VOYA CARAMEL 750ML</t>
  </si>
  <si>
    <t>RMSC-00006</t>
  </si>
  <si>
    <t>SAUS SAMBAL DEL MONTE 1000GR</t>
  </si>
  <si>
    <t>RMKC-00025</t>
  </si>
  <si>
    <t>SEDOTAN 5MM</t>
  </si>
  <si>
    <t>PCPB-00009</t>
  </si>
  <si>
    <t>PACK@500PCS</t>
  </si>
  <si>
    <t>SEDOTAN 6MM</t>
  </si>
  <si>
    <t>PCPB-00010</t>
  </si>
  <si>
    <t>SELAI SARIKAYA</t>
  </si>
  <si>
    <t>RMKC-00044</t>
  </si>
  <si>
    <t>SKIPPY CHUNKY 500GR</t>
  </si>
  <si>
    <t>RMKC-00028</t>
  </si>
  <si>
    <t>SKM KALENG 365GR</t>
  </si>
  <si>
    <t>RMBV-00013</t>
  </si>
  <si>
    <t>PCS@365GR</t>
  </si>
  <si>
    <t>SPORK HITAM (NEW)</t>
  </si>
  <si>
    <t>INSU-00028</t>
  </si>
  <si>
    <t>STICKER BIRU CALF ROUND (NEW)</t>
  </si>
  <si>
    <t>INSU-0003</t>
  </si>
  <si>
    <t>LEMBAR@77PCS</t>
  </si>
  <si>
    <t>STICKER GREETING CARD ICE (NEW)</t>
  </si>
  <si>
    <t>INSU-00003</t>
  </si>
  <si>
    <t>STICKER UNIVERSAL 250ML</t>
  </si>
  <si>
    <t>PCPB-00022</t>
  </si>
  <si>
    <t>STICKER UNIVERSAL 330ML</t>
  </si>
  <si>
    <t>PCPB-00023</t>
  </si>
  <si>
    <t>POWDER CAJUN SPICE 1000GR</t>
  </si>
  <si>
    <t>RMKC-00015</t>
  </si>
  <si>
    <t>SYRUP DAVINCI COOKIES 750ML</t>
  </si>
  <si>
    <t>RMSY-00002</t>
  </si>
  <si>
    <t>BTL@930GR</t>
  </si>
  <si>
    <t>SYRUP DAVINCI PECAN PRALINE 750ML</t>
  </si>
  <si>
    <t>RMSY-00003</t>
  </si>
  <si>
    <t>SYRUP DENALI ROUN 750ML</t>
  </si>
  <si>
    <t>RMSY-00014</t>
  </si>
  <si>
    <t>BTL@775GR</t>
  </si>
  <si>
    <t>SYRUP DRIPP APEL MALANG 760ML</t>
  </si>
  <si>
    <t>RMSY-00028</t>
  </si>
  <si>
    <t>SYRUP DRIPP BANANA 760ML</t>
  </si>
  <si>
    <t>RMSY-00004</t>
  </si>
  <si>
    <t>SYRUP DRIPP BUTTERSCOTCH 760ML</t>
  </si>
  <si>
    <t>RMSY-00005</t>
  </si>
  <si>
    <t>SYRUP DRIPP CARAMEL 760ML</t>
  </si>
  <si>
    <t>RMSY-00006</t>
  </si>
  <si>
    <t>SYRUP DRIPP CINNAMON 750ML</t>
  </si>
  <si>
    <t>RMSY-00007</t>
  </si>
  <si>
    <t>SYRUP DRIPP HONEY 760ML</t>
  </si>
  <si>
    <t>RMSY-00031</t>
  </si>
  <si>
    <t>SYRUP DRIPP JASMINE 760ML</t>
  </si>
  <si>
    <t>RMSY-00032</t>
  </si>
  <si>
    <t>SYRUP DRIPP MANGGA HARUMANIS PULP 760ML</t>
  </si>
  <si>
    <t>RMSY-00027</t>
  </si>
  <si>
    <t>SYRUP DRIPP MANGO STICKY RICE 750ML</t>
  </si>
  <si>
    <t>RMSY-00008</t>
  </si>
  <si>
    <t>POWDER LEMON TEA 1000GR</t>
  </si>
  <si>
    <t>RMPD-00007</t>
  </si>
  <si>
    <t>SYRUP DRIPP PISTACHIO 760ML</t>
  </si>
  <si>
    <t>RMSY-00009</t>
  </si>
  <si>
    <t>POWDER LYCHEE TEA 1000GR</t>
  </si>
  <si>
    <t>RMPD-00008</t>
  </si>
  <si>
    <t>SYRUP DRIPP STRAWBERRY 760ML</t>
  </si>
  <si>
    <t>RMSY-00033</t>
  </si>
  <si>
    <t>SYRUP DRIPP STRAWBERRY PULP 760ML</t>
  </si>
  <si>
    <t>RMSY-00030</t>
  </si>
  <si>
    <t>SYRUP DRIPP TIRAMISU 760ML</t>
  </si>
  <si>
    <t>RMSY-00010</t>
  </si>
  <si>
    <t>POWDER PARSLEY FLAKES 1000GR</t>
  </si>
  <si>
    <t>RMKC-00019</t>
  </si>
  <si>
    <t>SYRUP DRIPP VANILLA 760ML</t>
  </si>
  <si>
    <t>RMSY-00029</t>
  </si>
  <si>
    <t>POWDER PEACH TEA 1000GR</t>
  </si>
  <si>
    <t>RMPD-00010</t>
  </si>
  <si>
    <t>SYRUP ITAL LEMON JUICE 1000ML</t>
  </si>
  <si>
    <t>RMSY-00011</t>
  </si>
  <si>
    <t>POWDER ROASTED GARLIC 1000GR</t>
  </si>
  <si>
    <t>RMKC-00020</t>
  </si>
  <si>
    <t>BTL@1040GR</t>
  </si>
  <si>
    <t>SYRUP MONIN SUN DRIED ORANGE 750ML</t>
  </si>
  <si>
    <t>RMSY-00012</t>
  </si>
  <si>
    <t>BTL@850GR</t>
  </si>
  <si>
    <t>SYRUP MULTIBEV SALTED CARAMEL 500ML</t>
  </si>
  <si>
    <t>RMSY-00013</t>
  </si>
  <si>
    <t>BTL@550GR</t>
  </si>
  <si>
    <t>SYRUP STIR UP BLUEBERRY 800ML</t>
  </si>
  <si>
    <t>RMSY-00015</t>
  </si>
  <si>
    <t>BTL@1130GR</t>
  </si>
  <si>
    <t>SYRUP STIR UP CHEESE 800ML</t>
  </si>
  <si>
    <t>RMSY-00016</t>
  </si>
  <si>
    <t>RICH DOUBLE CREAM 1000ML</t>
  </si>
  <si>
    <t>SYRUP STIR UP PEACH 800ML</t>
  </si>
  <si>
    <t>RMFR-00054</t>
  </si>
  <si>
    <t>RMSY-00017</t>
  </si>
  <si>
    <t>SYRUP STIR UP PINEAPPLE 800ML</t>
  </si>
  <si>
    <t>RMSY-00018</t>
  </si>
  <si>
    <t>SYRUP STIR UP PISTACHIO 800ML</t>
  </si>
  <si>
    <t>RMSY-00019</t>
  </si>
  <si>
    <t>SYRUP STIR UP STRAWBERRY 800ML</t>
  </si>
  <si>
    <t>ROTI TAWAR 1,2 CM</t>
  </si>
  <si>
    <t>RMSY-00020</t>
  </si>
  <si>
    <t>RMFR-00067</t>
  </si>
  <si>
    <t>SYRUP TOZA ORANGE PREMIUM RTD 1000ML</t>
  </si>
  <si>
    <t>ROTI TAWAR 2 CM</t>
  </si>
  <si>
    <t>RMSY-00024</t>
  </si>
  <si>
    <t>RMFR-00019</t>
  </si>
  <si>
    <t>PCS@1100GR</t>
  </si>
  <si>
    <t>SARI MINANG BUBUK KARI KAMBING 250GR</t>
  </si>
  <si>
    <t>SYRUP VOYA VANILLA 750ML</t>
  </si>
  <si>
    <t>RMKC-00021</t>
  </si>
  <si>
    <t>RMSY-00026</t>
  </si>
  <si>
    <t>SASA MSG 1000GR</t>
  </si>
  <si>
    <t>TARTAR SAUCE KEWPIE 1KG</t>
  </si>
  <si>
    <t>RMKC-00022</t>
  </si>
  <si>
    <t>RMKC-00036</t>
  </si>
  <si>
    <t>TEPUNG FINNA 1000GR</t>
  </si>
  <si>
    <t>RMKC-00029</t>
  </si>
  <si>
    <t>TEPUNG MAIZENA 1000GR</t>
  </si>
  <si>
    <t>RMKC-00030</t>
  </si>
  <si>
    <t>TEPUNG TERIGU 1000GR</t>
  </si>
  <si>
    <t>RMKC-00031</t>
  </si>
  <si>
    <t>TISSUE COCKTAIL NAPKIN (NEW)</t>
  </si>
  <si>
    <t>INSU-00021</t>
  </si>
  <si>
    <t>TISSUE DINNER NAPKIN (NEW)</t>
  </si>
  <si>
    <t>INSU-00022</t>
  </si>
  <si>
    <t>TISSUE KITCHEN TOWEL (NEW)</t>
  </si>
  <si>
    <t>INSU-00019</t>
  </si>
  <si>
    <t>SAUCE TOMAT 1000GR</t>
  </si>
  <si>
    <t>RMKC-00034</t>
  </si>
  <si>
    <t>TISSUE LIVI (NEW)</t>
  </si>
  <si>
    <t>INSU-00017</t>
  </si>
  <si>
    <t>SAUCE TRUFFLE MAYO</t>
  </si>
  <si>
    <t>RMKC-00055</t>
  </si>
  <si>
    <t>TISSUE TOILET (NEW)</t>
  </si>
  <si>
    <t>INSU-00020</t>
  </si>
  <si>
    <t>TISSUE ROLL JUMBO</t>
  </si>
  <si>
    <t>INSU-00045</t>
  </si>
  <si>
    <t>TOPPING CERES MEISES</t>
  </si>
  <si>
    <t>RMKC-00032</t>
  </si>
  <si>
    <t>PACK@320G</t>
  </si>
  <si>
    <t>SAUS SAMBAL ABC 1000GR</t>
  </si>
  <si>
    <t>RMKC-00024</t>
  </si>
  <si>
    <t>TOPPING SIMBA CHOCO CRUNCH 950GR</t>
  </si>
  <si>
    <t>RMDG-00005</t>
  </si>
  <si>
    <t>PACK@950GR</t>
  </si>
  <si>
    <t>TOPPING TULIP CHOCO CHUNKS 1000GR</t>
  </si>
  <si>
    <t>RMBV-00017</t>
  </si>
  <si>
    <t>SAUS TIRAM PANDA 2200GR</t>
  </si>
  <si>
    <t>RMKC-00026</t>
  </si>
  <si>
    <t>TRASH BAG 90X120CM (NEW)</t>
  </si>
  <si>
    <t>INSU-00018</t>
  </si>
  <si>
    <t>PACK@5PCS</t>
  </si>
  <si>
    <t>SAUS TIRAM PANDA 510 GR</t>
  </si>
  <si>
    <t>RMKC-00027</t>
  </si>
  <si>
    <t>TUTUP BOTOL KALE 1000ML</t>
  </si>
  <si>
    <t>PCPB-00012</t>
  </si>
  <si>
    <t>TUTUP CUP ES</t>
  </si>
  <si>
    <t>PCPB-00013</t>
  </si>
  <si>
    <t>TUTUP CUP FROSTED</t>
  </si>
  <si>
    <t>PCPB-00011</t>
  </si>
  <si>
    <t>SELADA KERITING HIJAU</t>
  </si>
  <si>
    <t>RMVG-00010</t>
  </si>
  <si>
    <t>TUTUP CUP HOT</t>
  </si>
  <si>
    <t>PCPB-00014</t>
  </si>
  <si>
    <t>TUTUP CUP HOT 8 OZ DOUBLE WALL</t>
  </si>
  <si>
    <t>PCPB-00030</t>
  </si>
  <si>
    <t>TUTUP CUP JEFFERSON &amp; TEA DOME LID</t>
  </si>
  <si>
    <t>PCPB-00016</t>
  </si>
  <si>
    <t>TUTUP CUP JEFFERSON &amp; TEA FLAT LID</t>
  </si>
  <si>
    <t>PCPB-00015</t>
  </si>
  <si>
    <t>SODA COFFEE BEER</t>
  </si>
  <si>
    <t>RMBV-00028</t>
  </si>
  <si>
    <t>TUTUP KALENG 250ML</t>
  </si>
  <si>
    <t>SODA RASA YANG PERNAH ADA</t>
  </si>
  <si>
    <t>PCPB-00018</t>
  </si>
  <si>
    <t>RMBV-00031</t>
  </si>
  <si>
    <t>SODA SARSAPARILLA</t>
  </si>
  <si>
    <t>UHT OATSIDE 1000ML</t>
  </si>
  <si>
    <t>RMBV-00029</t>
  </si>
  <si>
    <t>RMFR-00024</t>
  </si>
  <si>
    <t>WHIPPING CREAM BROOKFARM 1000ML</t>
  </si>
  <si>
    <t>SODA TEMULAWAK</t>
  </si>
  <si>
    <t>RMFR-00053</t>
  </si>
  <si>
    <t>RMBV-00030</t>
  </si>
  <si>
    <t>SPAGHETTI CARBONARA</t>
  </si>
  <si>
    <t>SABUN CREOLIN</t>
  </si>
  <si>
    <t>RMKC-00035</t>
  </si>
  <si>
    <t>CCEM-0001</t>
  </si>
  <si>
    <t>CHEMICAL</t>
  </si>
  <si>
    <t>JERIGEN</t>
  </si>
  <si>
    <t>SABUN CUCI PIRING</t>
  </si>
  <si>
    <t>CCEM-0002</t>
  </si>
  <si>
    <t>SABUN CUCI TANGAN</t>
  </si>
  <si>
    <t>CCEM-0003</t>
  </si>
  <si>
    <t>STICKER CUSTOM 250ML (NEW)</t>
  </si>
  <si>
    <t>SABUN DETERGEN CAIR</t>
  </si>
  <si>
    <t>INSU_00005</t>
  </si>
  <si>
    <t>CCEM-0004</t>
  </si>
  <si>
    <t>STICKER CUSTOM 330ML (NEW)</t>
  </si>
  <si>
    <t>INSU-00004</t>
  </si>
  <si>
    <t>SABUN PEMBERSIH KACA</t>
  </si>
  <si>
    <t>CCEM-0005</t>
  </si>
  <si>
    <t>SABUN PEMBERSIH KERAMIK</t>
  </si>
  <si>
    <t>CCEM-0006</t>
  </si>
  <si>
    <t>SABUN PEMBERSIH LANTAI</t>
  </si>
  <si>
    <t>CCEM-0007</t>
  </si>
  <si>
    <t>SUSHI NORI</t>
  </si>
  <si>
    <t>RMKC-00049</t>
  </si>
  <si>
    <t>LEMBAR</t>
  </si>
  <si>
    <t>SYRUP TOZA STRAWBERRY 770ML</t>
  </si>
  <si>
    <t>RMSY-00023</t>
  </si>
  <si>
    <t>TAPE MENTEGA</t>
  </si>
  <si>
    <t>RMKC-00050</t>
  </si>
  <si>
    <t>TELUR</t>
  </si>
  <si>
    <t>RMMT-00004</t>
  </si>
  <si>
    <t>TOMAT MERAH</t>
  </si>
  <si>
    <t>RMVG-00011</t>
  </si>
  <si>
    <t>TRUFFLE OIL 250ML</t>
  </si>
  <si>
    <t>RMKC-00033</t>
  </si>
  <si>
    <t>TUTUP KALENG 330ML</t>
  </si>
  <si>
    <t>PCPB-00017</t>
  </si>
  <si>
    <t>YAKULT</t>
  </si>
  <si>
    <t>RMBV-00026</t>
  </si>
  <si>
    <t>TUMBLER SEVENTEEN DARK</t>
  </si>
  <si>
    <t>MERCH001</t>
  </si>
  <si>
    <t>MERCHANDISE</t>
  </si>
  <si>
    <t>APPAREL &amp; ACCESSORIES</t>
  </si>
  <si>
    <t>TOTE BAG LALALA</t>
  </si>
  <si>
    <t>MERCH002</t>
  </si>
  <si>
    <t>TUMBLER NEW DESIGN</t>
  </si>
  <si>
    <t>MERCH003</t>
  </si>
  <si>
    <t>KAOS CCI PUTIH - SIZE S</t>
  </si>
  <si>
    <t>MERCH004</t>
  </si>
  <si>
    <t>KAOS CCI PUTIH - SIZE M</t>
  </si>
  <si>
    <t>MERCH005</t>
  </si>
  <si>
    <t>KAOS CCI PUTIH - SIZE L</t>
  </si>
  <si>
    <t>MERCH006</t>
  </si>
  <si>
    <t>KAOS CCI PUTIH - SIZE XL</t>
  </si>
  <si>
    <t>MERCH007</t>
  </si>
  <si>
    <t>KAOS CCI PUTIH - SIZE XXL</t>
  </si>
  <si>
    <t>MERCH008</t>
  </si>
  <si>
    <t>KAOS CCI PUTIH - SIZE XXXL</t>
  </si>
  <si>
    <t>MERCH009</t>
  </si>
  <si>
    <t>KAOS CCI BIRU - SIZE S</t>
  </si>
  <si>
    <t>MERCH010</t>
  </si>
  <si>
    <t>KAOS CCI BIRU - SIZE M</t>
  </si>
  <si>
    <t>MERCH011</t>
  </si>
  <si>
    <t>KAOS CCI BIRU - SIZE L</t>
  </si>
  <si>
    <t>MERCH012</t>
  </si>
  <si>
    <t>KAOS CCI BIRU - SIZE XL</t>
  </si>
  <si>
    <t>MERCH013</t>
  </si>
  <si>
    <t>KAOS CCI BIRU - SIZE XXL</t>
  </si>
  <si>
    <t>MERCH014</t>
  </si>
  <si>
    <t>KAOS CCI BIRU - SIZE XXXL</t>
  </si>
  <si>
    <t>MERCH015</t>
  </si>
  <si>
    <t>KAOS CREATE DONT WAIT PUTIH - SIZE S</t>
  </si>
  <si>
    <t>MERCH016</t>
  </si>
  <si>
    <t>KAOS CREATE DONT WAIT PUTIH - SIZE M</t>
  </si>
  <si>
    <t>MERCH017</t>
  </si>
  <si>
    <t>KAOS CREATE DONT WAIT PUTIH - SIZE L</t>
  </si>
  <si>
    <t>MERCH018</t>
  </si>
  <si>
    <t>KAOS CREATE DONT WAIT PUTIH - SIZE XL</t>
  </si>
  <si>
    <t>MERCH019</t>
  </si>
  <si>
    <t>KAOS CREATE DONT WAIT PUTIH - SIZE XXL</t>
  </si>
  <si>
    <t>MERCH020</t>
  </si>
  <si>
    <t>KAOS CREATE DONT WAIT PUTIH - SIZE XXXL</t>
  </si>
  <si>
    <t>MERCH021</t>
  </si>
  <si>
    <t>PREMIX PREMIUM</t>
  </si>
  <si>
    <t>WIP-0001</t>
  </si>
  <si>
    <t>WIP BEVERAGE</t>
  </si>
  <si>
    <t>PREMIX REGULAR</t>
  </si>
  <si>
    <t>WIP-0002</t>
  </si>
  <si>
    <t>PREMIX PREMIUM OAT</t>
  </si>
  <si>
    <t>WIP-0003</t>
  </si>
  <si>
    <t xml:space="preserve">PREMIX JEFFERSON </t>
  </si>
  <si>
    <t>WIP-0004</t>
  </si>
  <si>
    <t>PREMIX SMOOTH</t>
  </si>
  <si>
    <t>WIP-0005</t>
  </si>
  <si>
    <t>PREMIX MAGIC</t>
  </si>
  <si>
    <t>WIP-0006</t>
  </si>
  <si>
    <t>PREMIX CHOCOLATE</t>
  </si>
  <si>
    <t>WIP-0007</t>
  </si>
  <si>
    <t>PREMIX AROMATIC</t>
  </si>
  <si>
    <t>WIP-0008</t>
  </si>
  <si>
    <t>PREMIX CLASSIC MILK TEA</t>
  </si>
  <si>
    <t>WIP-0009</t>
  </si>
  <si>
    <t>PREMIX APPLE TEA</t>
  </si>
  <si>
    <t>WIP-0010</t>
  </si>
  <si>
    <t>PREMIX COLD BREW PEACH</t>
  </si>
  <si>
    <t>WIP-0011</t>
  </si>
  <si>
    <t>PREMIX BERRY SHOT</t>
  </si>
  <si>
    <t>WIP-0012</t>
  </si>
  <si>
    <t>PREMIX FUSSION BLACK</t>
  </si>
  <si>
    <t>WIP-0013</t>
  </si>
  <si>
    <t>PREMIX DIRTY</t>
  </si>
  <si>
    <t>WIP-0014</t>
  </si>
  <si>
    <t>PREMIX ICE WHITE</t>
  </si>
  <si>
    <t>WIP-0015</t>
  </si>
  <si>
    <t>PREMIX COCONUT ORANGE</t>
  </si>
  <si>
    <t>WIP-0016</t>
  </si>
  <si>
    <t>PREMIX MATCHA</t>
  </si>
  <si>
    <t>WIP-0017</t>
  </si>
  <si>
    <t>PREMIX TARO</t>
  </si>
  <si>
    <t>WIP-0018</t>
  </si>
  <si>
    <t>WIP CHILLI OIL</t>
  </si>
  <si>
    <t>WIP-0019</t>
  </si>
  <si>
    <t>WIP FOOD</t>
  </si>
  <si>
    <t>PUDDING ORIGINAL</t>
  </si>
  <si>
    <t>WIP-0020</t>
  </si>
  <si>
    <t>PORSI</t>
  </si>
  <si>
    <t>WIP SAUS SAMBAL</t>
  </si>
  <si>
    <t>WIP-0021</t>
  </si>
  <si>
    <t>WIP SAMBAL MERAH</t>
  </si>
  <si>
    <t>WIP-0022</t>
  </si>
  <si>
    <t>WIP SAMBAL HIJAU</t>
  </si>
  <si>
    <t>WIP-0023</t>
  </si>
  <si>
    <t>WIP SAMBAL KOREAN SAUCE</t>
  </si>
  <si>
    <t>WIP-0024</t>
  </si>
  <si>
    <t>WIP MUSHROOM SAUCE</t>
  </si>
  <si>
    <t>WIP-0025</t>
  </si>
  <si>
    <t>WIP NASI</t>
  </si>
  <si>
    <t>WIP-0026</t>
  </si>
  <si>
    <t>WIP TEPUNG PISANG</t>
  </si>
  <si>
    <t>WIP-0027</t>
  </si>
  <si>
    <t>WIP TEPUNG AYAM</t>
  </si>
  <si>
    <t>WIP-0028</t>
  </si>
  <si>
    <t>Template Stock Opname Daily</t>
  </si>
  <si>
    <t xml:space="preserve">Branch : </t>
  </si>
  <si>
    <t>Date Tracking :</t>
  </si>
  <si>
    <t>Periode Tracking :</t>
  </si>
  <si>
    <t>Stock In</t>
  </si>
  <si>
    <t>Stock Out</t>
  </si>
  <si>
    <t>Beginning Balance Qty</t>
  </si>
  <si>
    <t>Mobilitas Qty</t>
  </si>
  <si>
    <t>Self Pickup Qty</t>
  </si>
  <si>
    <t>Transfer In Qty</t>
  </si>
  <si>
    <t>Sales Menu Qty</t>
  </si>
  <si>
    <t>Non Sales Qty</t>
  </si>
  <si>
    <t>Waste Qty</t>
  </si>
  <si>
    <t>Transfer Out Qty</t>
  </si>
  <si>
    <t>Balance Stock Qty</t>
  </si>
  <si>
    <t>Actual Stock Qty</t>
  </si>
  <si>
    <t>Variance Qty</t>
  </si>
  <si>
    <t>Additional Information</t>
  </si>
  <si>
    <t>KALENG 220ML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</si>
</sst>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4" xfId="0" applyAlignment="1" applyFont="1" applyNumberFormat="1">
      <alignment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2" xfId="0" applyAlignment="1" applyBorder="1" applyFont="1" applyNumberFormat="1">
      <alignment readingOrder="0"/>
    </xf>
    <xf borderId="1" fillId="2" fontId="2" numFmtId="2" xfId="0" applyAlignment="1" applyBorder="1" applyFill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2" xfId="0" applyBorder="1" applyFont="1" applyNumberFormat="1"/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25"/>
    <col customWidth="1" min="4" max="4" width="4.75"/>
    <col customWidth="1" min="5" max="5" width="28.63"/>
    <col customWidth="1" min="7" max="7" width="5.25"/>
    <col customWidth="1" min="8" max="8" width="25.5"/>
  </cols>
  <sheetData>
    <row r="1">
      <c r="A1" s="1" t="s">
        <v>0</v>
      </c>
      <c r="B1" s="2"/>
      <c r="C1" s="2"/>
      <c r="D1" s="1" t="s">
        <v>2</v>
      </c>
      <c r="E1" s="2"/>
      <c r="F1" s="2"/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7</v>
      </c>
      <c r="C3" s="4"/>
      <c r="D3" s="3" t="s">
        <v>4</v>
      </c>
      <c r="E3" s="3" t="s">
        <v>7</v>
      </c>
      <c r="F3" s="2"/>
      <c r="G3" s="3" t="s">
        <v>4</v>
      </c>
      <c r="H3" s="3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1.0</v>
      </c>
      <c r="B4" s="5" t="s">
        <v>9</v>
      </c>
      <c r="C4" s="4"/>
      <c r="D4" s="5">
        <v>1.0</v>
      </c>
      <c r="E4" s="5" t="s">
        <v>10</v>
      </c>
      <c r="F4" s="2"/>
      <c r="G4" s="5">
        <v>1.0</v>
      </c>
      <c r="H4" s="5" t="s">
        <v>11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2.0</v>
      </c>
      <c r="B5" s="5" t="s">
        <v>12</v>
      </c>
      <c r="C5" s="4"/>
      <c r="D5" s="5">
        <v>2.0</v>
      </c>
      <c r="E5" s="5" t="s">
        <v>13</v>
      </c>
      <c r="F5" s="2"/>
      <c r="G5" s="5">
        <v>2.0</v>
      </c>
      <c r="H5" s="5" t="s">
        <v>14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3.0</v>
      </c>
      <c r="B6" s="5" t="s">
        <v>19</v>
      </c>
      <c r="C6" s="4"/>
      <c r="D6" s="5">
        <v>3.0</v>
      </c>
      <c r="E6" s="5" t="s">
        <v>21</v>
      </c>
      <c r="F6" s="2"/>
      <c r="G6" s="5">
        <v>3.0</v>
      </c>
      <c r="H6" s="5" t="s">
        <v>24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4.0</v>
      </c>
      <c r="B7" s="5" t="s">
        <v>26</v>
      </c>
      <c r="C7" s="4"/>
      <c r="D7" s="5">
        <v>4.0</v>
      </c>
      <c r="E7" s="5" t="s">
        <v>27</v>
      </c>
      <c r="F7" s="2"/>
      <c r="G7" s="5">
        <v>4.0</v>
      </c>
      <c r="H7" s="5" t="s">
        <v>29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5.0</v>
      </c>
      <c r="B8" s="5" t="s">
        <v>33</v>
      </c>
      <c r="C8" s="4"/>
      <c r="D8" s="5">
        <v>5.0</v>
      </c>
      <c r="E8" s="5" t="s">
        <v>34</v>
      </c>
      <c r="F8" s="2"/>
      <c r="G8" s="5">
        <v>5.0</v>
      </c>
      <c r="H8" s="5" t="s">
        <v>37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6.0</v>
      </c>
      <c r="B9" s="5" t="s">
        <v>42</v>
      </c>
      <c r="C9" s="4"/>
      <c r="D9" s="5">
        <v>6.0</v>
      </c>
      <c r="E9" s="5" t="s">
        <v>44</v>
      </c>
      <c r="F9" s="2"/>
      <c r="G9" s="5">
        <v>6.0</v>
      </c>
      <c r="H9" s="5" t="s">
        <v>46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7.0</v>
      </c>
      <c r="B10" s="5" t="s">
        <v>49</v>
      </c>
      <c r="C10" s="4"/>
      <c r="D10" s="5">
        <v>7.0</v>
      </c>
      <c r="E10" s="5" t="s">
        <v>52</v>
      </c>
      <c r="F10" s="2"/>
      <c r="G10" s="5">
        <v>7.0</v>
      </c>
      <c r="H10" s="5" t="s">
        <v>54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8.0</v>
      </c>
      <c r="B11" s="5" t="s">
        <v>55</v>
      </c>
      <c r="C11" s="4"/>
      <c r="D11" s="5">
        <v>8.0</v>
      </c>
      <c r="E11" s="5" t="s">
        <v>56</v>
      </c>
      <c r="F11" s="2"/>
      <c r="G11" s="5">
        <v>8.0</v>
      </c>
      <c r="H11" s="5" t="s">
        <v>59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9.0</v>
      </c>
      <c r="B12" s="5" t="s">
        <v>63</v>
      </c>
      <c r="C12" s="4"/>
      <c r="D12" s="5">
        <v>9.0</v>
      </c>
      <c r="E12" s="5" t="s">
        <v>64</v>
      </c>
      <c r="F12" s="2"/>
      <c r="G12" s="5">
        <v>9.0</v>
      </c>
      <c r="H12" s="5" t="s">
        <v>65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10.0</v>
      </c>
      <c r="B13" s="5" t="s">
        <v>71</v>
      </c>
      <c r="C13" s="4"/>
      <c r="D13" s="5">
        <v>10.0</v>
      </c>
      <c r="E13" s="5" t="s">
        <v>72</v>
      </c>
      <c r="F13" s="2"/>
      <c r="G13" s="5">
        <v>10.0</v>
      </c>
      <c r="H13" s="5" t="s">
        <v>73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11.0</v>
      </c>
      <c r="B14" s="5" t="s">
        <v>75</v>
      </c>
      <c r="C14" s="2"/>
      <c r="D14" s="5">
        <v>11.0</v>
      </c>
      <c r="E14" s="5" t="s">
        <v>77</v>
      </c>
      <c r="F14" s="2"/>
      <c r="G14" s="5">
        <v>11.0</v>
      </c>
      <c r="H14" s="5" t="s">
        <v>80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12.0</v>
      </c>
      <c r="B15" s="5" t="s">
        <v>82</v>
      </c>
      <c r="C15" s="2"/>
      <c r="D15" s="5">
        <v>12.0</v>
      </c>
      <c r="E15" s="5" t="s">
        <v>84</v>
      </c>
      <c r="F15" s="2"/>
      <c r="G15" s="5">
        <v>12.0</v>
      </c>
      <c r="H15" s="5" t="s">
        <v>87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13.0</v>
      </c>
      <c r="B16" s="5" t="s">
        <v>92</v>
      </c>
      <c r="C16" s="2"/>
      <c r="D16" s="5">
        <v>13.0</v>
      </c>
      <c r="E16" s="5" t="s">
        <v>93</v>
      </c>
      <c r="F16" s="2"/>
      <c r="G16" s="5">
        <v>13.0</v>
      </c>
      <c r="H16" s="5" t="s">
        <v>94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14.0</v>
      </c>
      <c r="B17" s="5" t="s">
        <v>97</v>
      </c>
      <c r="C17" s="2"/>
      <c r="D17" s="5">
        <v>14.0</v>
      </c>
      <c r="E17" s="5" t="s">
        <v>98</v>
      </c>
      <c r="F17" s="2"/>
      <c r="G17" s="5">
        <v>14.0</v>
      </c>
      <c r="H17" s="5" t="s">
        <v>100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15.0</v>
      </c>
      <c r="B18" s="5" t="s">
        <v>102</v>
      </c>
      <c r="C18" s="2"/>
      <c r="D18" s="5">
        <v>15.0</v>
      </c>
      <c r="E18" s="5" t="s">
        <v>104</v>
      </c>
      <c r="F18" s="2"/>
      <c r="G18" s="5">
        <v>15.0</v>
      </c>
      <c r="H18" s="5" t="s">
        <v>107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16.0</v>
      </c>
      <c r="B19" s="5" t="s">
        <v>110</v>
      </c>
      <c r="C19" s="2"/>
      <c r="D19" s="5">
        <v>16.0</v>
      </c>
      <c r="E19" s="5" t="s">
        <v>112</v>
      </c>
      <c r="F19" s="2"/>
      <c r="G19" s="5">
        <v>16.0</v>
      </c>
      <c r="H19" s="5" t="s">
        <v>114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17.0</v>
      </c>
      <c r="B20" s="5" t="s">
        <v>121</v>
      </c>
      <c r="C20" s="2"/>
      <c r="D20" s="5">
        <v>17.0</v>
      </c>
      <c r="E20" s="5" t="s">
        <v>122</v>
      </c>
      <c r="F20" s="2"/>
      <c r="G20" s="5">
        <v>17.0</v>
      </c>
      <c r="H20" s="5" t="s">
        <v>123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18.0</v>
      </c>
      <c r="B21" s="5" t="s">
        <v>127</v>
      </c>
      <c r="C21" s="2"/>
      <c r="D21" s="5">
        <v>18.0</v>
      </c>
      <c r="E21" s="5" t="s">
        <v>129</v>
      </c>
      <c r="F21" s="2"/>
      <c r="G21" s="5">
        <v>18.0</v>
      </c>
      <c r="H21" s="5" t="s">
        <v>131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19.0</v>
      </c>
      <c r="B22" s="5" t="s">
        <v>137</v>
      </c>
      <c r="C22" s="4"/>
      <c r="D22" s="5">
        <v>19.0</v>
      </c>
      <c r="E22" s="5" t="s">
        <v>138</v>
      </c>
      <c r="F22" s="2"/>
      <c r="G22" s="2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20.0</v>
      </c>
      <c r="B23" s="5" t="s">
        <v>142</v>
      </c>
      <c r="C23" s="2"/>
      <c r="D23" s="5">
        <v>20.0</v>
      </c>
      <c r="E23" s="5" t="s">
        <v>144</v>
      </c>
      <c r="F23" s="2"/>
      <c r="G23" s="2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>
        <v>21.0</v>
      </c>
      <c r="B24" s="5" t="s">
        <v>149</v>
      </c>
      <c r="C24" s="2"/>
      <c r="D24" s="5">
        <v>21.0</v>
      </c>
      <c r="E24" s="5" t="s">
        <v>151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22.0</v>
      </c>
      <c r="B25" s="5" t="s">
        <v>152</v>
      </c>
      <c r="C25" s="2"/>
      <c r="D25" s="5">
        <v>22.0</v>
      </c>
      <c r="E25" s="5" t="s">
        <v>153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>
        <v>23.0</v>
      </c>
      <c r="B26" s="5" t="s">
        <v>157</v>
      </c>
      <c r="C26" s="2"/>
      <c r="D26" s="5">
        <v>23.0</v>
      </c>
      <c r="E26" s="5" t="s">
        <v>158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>
        <v>24.0</v>
      </c>
      <c r="B27" s="5" t="s">
        <v>161</v>
      </c>
      <c r="C27" s="4"/>
      <c r="D27" s="5">
        <v>24.0</v>
      </c>
      <c r="E27" s="5" t="s">
        <v>162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>
        <v>25.0</v>
      </c>
      <c r="B28" s="5" t="s">
        <v>163</v>
      </c>
      <c r="C28" s="2"/>
      <c r="D28" s="5">
        <v>25.0</v>
      </c>
      <c r="E28" s="5" t="s">
        <v>165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>
        <v>26.0</v>
      </c>
      <c r="B29" s="5" t="s">
        <v>167</v>
      </c>
      <c r="C29" s="2"/>
      <c r="D29" s="5">
        <v>26.0</v>
      </c>
      <c r="E29" s="5" t="s">
        <v>168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>
        <v>27.0</v>
      </c>
      <c r="B30" s="5" t="s">
        <v>173</v>
      </c>
      <c r="C30" s="4"/>
      <c r="D30" s="5">
        <v>27.0</v>
      </c>
      <c r="E30" s="5" t="s">
        <v>174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28.0</v>
      </c>
      <c r="B31" s="5" t="s">
        <v>177</v>
      </c>
      <c r="C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>
        <v>29.0</v>
      </c>
      <c r="B32" s="5" t="s">
        <v>183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30.0</v>
      </c>
      <c r="B33" s="5" t="s">
        <v>184</v>
      </c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>
        <v>31.0</v>
      </c>
      <c r="B34" s="5" t="s">
        <v>187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32.0</v>
      </c>
      <c r="B35" s="5" t="s">
        <v>193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>
        <v>33.0</v>
      </c>
      <c r="B36" s="5" t="s">
        <v>194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34.0</v>
      </c>
      <c r="B37" s="5" t="s">
        <v>199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35.0</v>
      </c>
      <c r="B38" s="5" t="s">
        <v>204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36.0</v>
      </c>
      <c r="B39" s="5" t="s">
        <v>205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>
        <v>37.0</v>
      </c>
      <c r="B40" s="5" t="s">
        <v>210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>
        <v>38.0</v>
      </c>
      <c r="B41" s="5" t="s">
        <v>215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>
        <v>39.0</v>
      </c>
      <c r="B42" s="5" t="s">
        <v>217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40.0</v>
      </c>
      <c r="B43" s="5" t="s">
        <v>224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>
        <v>41.0</v>
      </c>
      <c r="B44" s="5" t="s">
        <v>227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42.0</v>
      </c>
      <c r="B45" s="5" t="s">
        <v>228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>
        <v>43.0</v>
      </c>
      <c r="B46" s="5" t="s">
        <v>231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>
        <v>44.0</v>
      </c>
      <c r="B47" s="5" t="s">
        <v>234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>
        <v>45.0</v>
      </c>
      <c r="B48" s="5" t="s">
        <v>236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>
        <v>46.0</v>
      </c>
      <c r="B49" s="5" t="s">
        <v>240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>
        <v>47.0</v>
      </c>
      <c r="B50" s="5" t="s">
        <v>243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>
        <v>48.0</v>
      </c>
      <c r="B51" s="5" t="s">
        <v>246</v>
      </c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>
        <v>49.0</v>
      </c>
      <c r="B52" s="5" t="s">
        <v>247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>
        <v>50.0</v>
      </c>
      <c r="B53" s="5" t="s">
        <v>250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>
        <v>51.0</v>
      </c>
      <c r="B54" s="5" t="s">
        <v>253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>
        <v>52.0</v>
      </c>
      <c r="B55" s="5" t="s">
        <v>254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>
        <v>53.0</v>
      </c>
      <c r="B56" s="5" t="s">
        <v>257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>
        <v>54.0</v>
      </c>
      <c r="B57" s="5" t="s">
        <v>260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>
        <v>55.0</v>
      </c>
      <c r="B58" s="5" t="s">
        <v>261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>
        <v>56.0</v>
      </c>
      <c r="B59" s="5" t="s">
        <v>266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>
        <v>57.0</v>
      </c>
      <c r="B60" s="5" t="s">
        <v>269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58.0</v>
      </c>
      <c r="B61" s="5" t="s">
        <v>272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v>59.0</v>
      </c>
      <c r="B62" s="5" t="s">
        <v>274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>
        <v>60.0</v>
      </c>
      <c r="B63" s="5" t="s">
        <v>278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>
        <v>61.0</v>
      </c>
      <c r="B64" s="5" t="s">
        <v>282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>
        <v>62.0</v>
      </c>
      <c r="B65" s="5" t="s">
        <v>285</v>
      </c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>
        <v>63.0</v>
      </c>
      <c r="B66" s="5" t="s">
        <v>289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>
        <v>64.0</v>
      </c>
      <c r="B67" s="5" t="s">
        <v>295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>
        <v>65.0</v>
      </c>
      <c r="B68" s="5" t="s">
        <v>298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>
        <v>66.0</v>
      </c>
      <c r="B69" s="5" t="s">
        <v>299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>
        <v>67.0</v>
      </c>
      <c r="B70" s="5" t="s">
        <v>303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>
        <v>68.0</v>
      </c>
      <c r="B71" s="5" t="s">
        <v>304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>
        <v>69.0</v>
      </c>
      <c r="B72" s="5" t="s">
        <v>308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>
        <v>70.0</v>
      </c>
      <c r="B73" s="5" t="s">
        <v>311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>
        <v>71.0</v>
      </c>
      <c r="B74" s="5" t="s">
        <v>313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>
        <v>72.0</v>
      </c>
      <c r="B75" s="5" t="s">
        <v>317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>
        <v>73.0</v>
      </c>
      <c r="B76" s="5" t="s">
        <v>320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>
        <v>74.0</v>
      </c>
      <c r="B77" s="5" t="s">
        <v>323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>
        <v>75.0</v>
      </c>
      <c r="B78" s="5" t="s">
        <v>329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>
        <v>76.0</v>
      </c>
      <c r="B79" s="5" t="s">
        <v>334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>
        <v>77.0</v>
      </c>
      <c r="B80" s="5" t="s">
        <v>335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>
        <v>78.0</v>
      </c>
      <c r="B81" s="5" t="s">
        <v>338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>
        <v>79.0</v>
      </c>
      <c r="B82" s="5" t="s">
        <v>343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80.0</v>
      </c>
      <c r="B83" s="5" t="s">
        <v>344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>
        <v>81.0</v>
      </c>
      <c r="B84" s="5" t="s">
        <v>348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>
        <v>82.0</v>
      </c>
      <c r="B85" s="5" t="s">
        <v>352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>
        <v>83.0</v>
      </c>
      <c r="B86" s="5" t="s">
        <v>356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>
        <v>84.0</v>
      </c>
      <c r="B87" s="5" t="s">
        <v>359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>
        <v>85.0</v>
      </c>
      <c r="B88" s="5" t="s">
        <v>362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>
        <v>86.0</v>
      </c>
      <c r="B89" s="5" t="s">
        <v>365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>
        <v>87.0</v>
      </c>
      <c r="B90" s="5" t="s">
        <v>368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>
        <v>88.0</v>
      </c>
      <c r="B91" s="5" t="s">
        <v>370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>
        <v>89.0</v>
      </c>
      <c r="B92" s="5" t="s">
        <v>374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90.0</v>
      </c>
      <c r="B93" s="5" t="s">
        <v>377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>
        <v>91.0</v>
      </c>
      <c r="B94" s="5" t="s">
        <v>380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92.0</v>
      </c>
      <c r="B95" s="5" t="s">
        <v>381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>
        <v>93.0</v>
      </c>
      <c r="B96" s="5" t="s">
        <v>385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>
        <v>94.0</v>
      </c>
      <c r="B97" s="5" t="s">
        <v>386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>
        <v>95.0</v>
      </c>
      <c r="B98" s="5" t="s">
        <v>389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>
        <v>96.0</v>
      </c>
      <c r="B99" s="5" t="s">
        <v>392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>
        <v>97.0</v>
      </c>
      <c r="B100" s="5" t="s">
        <v>393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>
        <v>98.0</v>
      </c>
      <c r="B101" s="5" t="s">
        <v>396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>
        <v>99.0</v>
      </c>
      <c r="B102" s="5" t="s">
        <v>399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>
        <v>100.0</v>
      </c>
      <c r="B103" s="5" t="s">
        <v>400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>
        <v>101.0</v>
      </c>
      <c r="B104" s="5" t="s">
        <v>404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>
        <v>102.0</v>
      </c>
      <c r="B105" s="5" t="s">
        <v>409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>
        <v>103.0</v>
      </c>
      <c r="B106" s="5" t="s">
        <v>412</v>
      </c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>
        <v>104.0</v>
      </c>
      <c r="B107" s="5" t="s">
        <v>417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4">
        <v>105.0</v>
      </c>
      <c r="B108" s="14" t="s">
        <v>421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8.13"/>
    <col customWidth="1" min="3" max="9" width="14.75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1" t="s">
        <v>5</v>
      </c>
      <c r="H3" s="2"/>
      <c r="I3" s="6">
        <f>SUM(I5:I10)</f>
        <v>99386656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20</v>
      </c>
      <c r="G4" s="7" t="s">
        <v>22</v>
      </c>
      <c r="H4" s="3" t="s">
        <v>28</v>
      </c>
      <c r="I4" s="3" t="s">
        <v>30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1.0</v>
      </c>
      <c r="B5" s="5" t="s">
        <v>39</v>
      </c>
      <c r="C5" s="8" t="s">
        <v>40</v>
      </c>
      <c r="D5" s="8" t="s">
        <v>41</v>
      </c>
      <c r="E5" s="8" t="s">
        <v>39</v>
      </c>
      <c r="F5" s="8" t="s">
        <v>43</v>
      </c>
      <c r="G5" s="10">
        <v>16.0</v>
      </c>
      <c r="H5" s="11">
        <v>295000.0</v>
      </c>
      <c r="I5" s="11">
        <f t="shared" ref="I5:I10" si="1">G5*H5</f>
        <v>4720000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2.0</v>
      </c>
      <c r="B6" s="5" t="s">
        <v>83</v>
      </c>
      <c r="C6" s="8" t="s">
        <v>85</v>
      </c>
      <c r="D6" s="8" t="s">
        <v>41</v>
      </c>
      <c r="E6" s="8" t="s">
        <v>83</v>
      </c>
      <c r="F6" s="8" t="s">
        <v>43</v>
      </c>
      <c r="G6" s="10">
        <v>32.0</v>
      </c>
      <c r="H6" s="11">
        <v>235208.0</v>
      </c>
      <c r="I6" s="11">
        <f t="shared" si="1"/>
        <v>7526656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3.0</v>
      </c>
      <c r="B7" s="5" t="s">
        <v>101</v>
      </c>
      <c r="C7" s="8" t="s">
        <v>103</v>
      </c>
      <c r="D7" s="8" t="s">
        <v>41</v>
      </c>
      <c r="E7" s="8" t="s">
        <v>105</v>
      </c>
      <c r="F7" s="8" t="s">
        <v>43</v>
      </c>
      <c r="G7" s="10">
        <v>391.0</v>
      </c>
      <c r="H7" s="11">
        <v>145000.0</v>
      </c>
      <c r="I7" s="11">
        <f t="shared" si="1"/>
        <v>56695000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4.0</v>
      </c>
      <c r="B8" s="5" t="s">
        <v>117</v>
      </c>
      <c r="C8" s="8" t="s">
        <v>118</v>
      </c>
      <c r="D8" s="8" t="s">
        <v>41</v>
      </c>
      <c r="E8" s="8" t="s">
        <v>120</v>
      </c>
      <c r="F8" s="8" t="s">
        <v>43</v>
      </c>
      <c r="G8" s="10">
        <v>223.0</v>
      </c>
      <c r="H8" s="11">
        <v>115000.0</v>
      </c>
      <c r="I8" s="11">
        <f t="shared" si="1"/>
        <v>25645000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5.0</v>
      </c>
      <c r="B9" s="5" t="s">
        <v>130</v>
      </c>
      <c r="C9" s="8" t="s">
        <v>132</v>
      </c>
      <c r="D9" s="8" t="s">
        <v>133</v>
      </c>
      <c r="E9" s="8" t="s">
        <v>134</v>
      </c>
      <c r="F9" s="8" t="s">
        <v>43</v>
      </c>
      <c r="G9" s="10">
        <v>48.0</v>
      </c>
      <c r="H9" s="11">
        <v>90000.0</v>
      </c>
      <c r="I9" s="11">
        <f t="shared" si="1"/>
        <v>4320000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6.0</v>
      </c>
      <c r="B10" s="5" t="s">
        <v>143</v>
      </c>
      <c r="C10" s="8" t="s">
        <v>145</v>
      </c>
      <c r="D10" s="8" t="s">
        <v>133</v>
      </c>
      <c r="E10" s="8" t="s">
        <v>134</v>
      </c>
      <c r="F10" s="8" t="s">
        <v>43</v>
      </c>
      <c r="G10" s="10">
        <v>8.0</v>
      </c>
      <c r="H10" s="11">
        <v>60000.0</v>
      </c>
      <c r="I10" s="11">
        <f t="shared" si="1"/>
        <v>480000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4.63"/>
    <col customWidth="1" min="3" max="3" width="13.13"/>
    <col customWidth="1" min="4" max="4" width="19.75"/>
    <col customWidth="1" min="5" max="5" width="19.13"/>
    <col customWidth="1" min="6" max="6" width="14.63"/>
    <col customWidth="1" min="7" max="7" width="14.25"/>
    <col customWidth="1" min="8" max="8" width="18.0"/>
    <col customWidth="1" min="9" max="9" width="14.38"/>
  </cols>
  <sheetData>
    <row r="1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1" t="s">
        <v>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25</v>
      </c>
      <c r="C3" s="3" t="s">
        <v>16</v>
      </c>
      <c r="D3" s="3" t="s">
        <v>17</v>
      </c>
      <c r="E3" s="3" t="s">
        <v>18</v>
      </c>
      <c r="F3" s="3" t="s">
        <v>20</v>
      </c>
      <c r="G3" s="7" t="s">
        <v>22</v>
      </c>
      <c r="H3" s="3" t="s">
        <v>28</v>
      </c>
      <c r="I3" s="3" t="s">
        <v>30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1.0</v>
      </c>
      <c r="B4" s="5" t="s">
        <v>31</v>
      </c>
      <c r="C4" s="8" t="s">
        <v>32</v>
      </c>
      <c r="D4" s="8" t="s">
        <v>35</v>
      </c>
      <c r="E4" s="8" t="s">
        <v>36</v>
      </c>
      <c r="F4" s="8" t="s">
        <v>45</v>
      </c>
      <c r="G4" s="10">
        <v>100.0</v>
      </c>
      <c r="H4" s="12"/>
      <c r="I4" s="1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2.0</v>
      </c>
      <c r="B5" s="5" t="s">
        <v>57</v>
      </c>
      <c r="C5" s="8" t="s">
        <v>58</v>
      </c>
      <c r="D5" s="8" t="s">
        <v>60</v>
      </c>
      <c r="E5" s="8" t="s">
        <v>61</v>
      </c>
      <c r="F5" s="8" t="s">
        <v>62</v>
      </c>
      <c r="G5" s="10">
        <v>100.0</v>
      </c>
      <c r="H5" s="12"/>
      <c r="I5" s="1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3.0</v>
      </c>
      <c r="B6" s="5" t="s">
        <v>67</v>
      </c>
      <c r="C6" s="8" t="s">
        <v>69</v>
      </c>
      <c r="D6" s="8" t="s">
        <v>78</v>
      </c>
      <c r="E6" s="8" t="s">
        <v>79</v>
      </c>
      <c r="F6" s="8" t="s">
        <v>81</v>
      </c>
      <c r="G6" s="10">
        <v>100.0</v>
      </c>
      <c r="H6" s="12"/>
      <c r="I6" s="1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4.0</v>
      </c>
      <c r="B7" s="5" t="s">
        <v>89</v>
      </c>
      <c r="C7" s="8" t="s">
        <v>90</v>
      </c>
      <c r="D7" s="8" t="s">
        <v>78</v>
      </c>
      <c r="E7" s="8" t="s">
        <v>79</v>
      </c>
      <c r="F7" s="8" t="s">
        <v>91</v>
      </c>
      <c r="G7" s="10">
        <v>100.0</v>
      </c>
      <c r="H7" s="12"/>
      <c r="I7" s="1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5.0</v>
      </c>
      <c r="B8" s="5" t="s">
        <v>95</v>
      </c>
      <c r="C8" s="8" t="s">
        <v>96</v>
      </c>
      <c r="D8" s="8" t="s">
        <v>78</v>
      </c>
      <c r="E8" s="8" t="s">
        <v>79</v>
      </c>
      <c r="F8" s="8" t="s">
        <v>99</v>
      </c>
      <c r="G8" s="10">
        <v>100.0</v>
      </c>
      <c r="H8" s="12"/>
      <c r="I8" s="1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6.0</v>
      </c>
      <c r="B9" s="5" t="s">
        <v>106</v>
      </c>
      <c r="C9" s="8" t="s">
        <v>108</v>
      </c>
      <c r="D9" s="8" t="s">
        <v>60</v>
      </c>
      <c r="E9" s="8" t="s">
        <v>61</v>
      </c>
      <c r="F9" s="8" t="s">
        <v>109</v>
      </c>
      <c r="G9" s="10">
        <v>100.0</v>
      </c>
      <c r="H9" s="12"/>
      <c r="I9" s="1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7.0</v>
      </c>
      <c r="B10" s="5" t="s">
        <v>115</v>
      </c>
      <c r="C10" s="8" t="s">
        <v>116</v>
      </c>
      <c r="D10" s="8" t="s">
        <v>35</v>
      </c>
      <c r="E10" s="8" t="s">
        <v>119</v>
      </c>
      <c r="F10" s="8" t="s">
        <v>38</v>
      </c>
      <c r="G10" s="10">
        <v>100.0</v>
      </c>
      <c r="H10" s="12"/>
      <c r="I10" s="1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8.0</v>
      </c>
      <c r="B11" s="5" t="s">
        <v>126</v>
      </c>
      <c r="C11" s="8" t="s">
        <v>128</v>
      </c>
      <c r="D11" s="8" t="s">
        <v>60</v>
      </c>
      <c r="E11" s="8" t="s">
        <v>61</v>
      </c>
      <c r="F11" s="8" t="s">
        <v>109</v>
      </c>
      <c r="G11" s="10">
        <v>100.0</v>
      </c>
      <c r="H11" s="12"/>
      <c r="I11" s="1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9.0</v>
      </c>
      <c r="B12" s="5" t="s">
        <v>139</v>
      </c>
      <c r="C12" s="8" t="s">
        <v>140</v>
      </c>
      <c r="D12" s="8" t="s">
        <v>35</v>
      </c>
      <c r="E12" s="8" t="s">
        <v>141</v>
      </c>
      <c r="F12" s="8" t="s">
        <v>45</v>
      </c>
      <c r="G12" s="10">
        <v>100.0</v>
      </c>
      <c r="H12" s="12"/>
      <c r="I12" s="1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10.0</v>
      </c>
      <c r="B13" s="5" t="s">
        <v>146</v>
      </c>
      <c r="C13" s="8" t="s">
        <v>147</v>
      </c>
      <c r="D13" s="8" t="s">
        <v>78</v>
      </c>
      <c r="E13" s="8" t="s">
        <v>148</v>
      </c>
      <c r="F13" s="8" t="s">
        <v>150</v>
      </c>
      <c r="G13" s="10">
        <v>100.0</v>
      </c>
      <c r="H13" s="12"/>
      <c r="I13" s="1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11.0</v>
      </c>
      <c r="B14" s="5" t="s">
        <v>154</v>
      </c>
      <c r="C14" s="8" t="s">
        <v>155</v>
      </c>
      <c r="D14" s="8" t="s">
        <v>60</v>
      </c>
      <c r="E14" s="8" t="s">
        <v>61</v>
      </c>
      <c r="F14" s="8" t="s">
        <v>156</v>
      </c>
      <c r="G14" s="10">
        <v>100.0</v>
      </c>
      <c r="H14" s="12"/>
      <c r="I14" s="1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12.0</v>
      </c>
      <c r="B15" s="5" t="s">
        <v>159</v>
      </c>
      <c r="C15" s="8" t="s">
        <v>160</v>
      </c>
      <c r="D15" s="8" t="s">
        <v>78</v>
      </c>
      <c r="E15" s="8" t="s">
        <v>148</v>
      </c>
      <c r="F15" s="8" t="s">
        <v>62</v>
      </c>
      <c r="G15" s="10">
        <v>100.0</v>
      </c>
      <c r="H15" s="12"/>
      <c r="I15" s="1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13.0</v>
      </c>
      <c r="B16" s="5" t="s">
        <v>164</v>
      </c>
      <c r="C16" s="8" t="s">
        <v>166</v>
      </c>
      <c r="D16" s="8" t="s">
        <v>35</v>
      </c>
      <c r="E16" s="8" t="s">
        <v>119</v>
      </c>
      <c r="F16" s="8" t="s">
        <v>38</v>
      </c>
      <c r="G16" s="10">
        <v>100.0</v>
      </c>
      <c r="H16" s="12"/>
      <c r="I16" s="1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14.0</v>
      </c>
      <c r="B17" s="5" t="s">
        <v>171</v>
      </c>
      <c r="C17" s="8" t="s">
        <v>172</v>
      </c>
      <c r="D17" s="8" t="s">
        <v>35</v>
      </c>
      <c r="E17" s="8" t="s">
        <v>119</v>
      </c>
      <c r="F17" s="8" t="s">
        <v>38</v>
      </c>
      <c r="G17" s="10">
        <v>100.0</v>
      </c>
      <c r="H17" s="12"/>
      <c r="I17" s="1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15.0</v>
      </c>
      <c r="B18" s="5" t="s">
        <v>175</v>
      </c>
      <c r="C18" s="8" t="s">
        <v>176</v>
      </c>
      <c r="D18" s="8" t="s">
        <v>35</v>
      </c>
      <c r="E18" s="8" t="s">
        <v>119</v>
      </c>
      <c r="F18" s="8" t="s">
        <v>38</v>
      </c>
      <c r="G18" s="10">
        <v>100.0</v>
      </c>
      <c r="H18" s="12"/>
      <c r="I18" s="1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16.0</v>
      </c>
      <c r="B19" s="5" t="s">
        <v>181</v>
      </c>
      <c r="C19" s="8" t="s">
        <v>182</v>
      </c>
      <c r="D19" s="8" t="s">
        <v>35</v>
      </c>
      <c r="E19" s="8" t="s">
        <v>119</v>
      </c>
      <c r="F19" s="8" t="s">
        <v>38</v>
      </c>
      <c r="G19" s="10">
        <v>100.0</v>
      </c>
      <c r="H19" s="12"/>
      <c r="I19" s="1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17.0</v>
      </c>
      <c r="B20" s="5" t="s">
        <v>185</v>
      </c>
      <c r="C20" s="8" t="s">
        <v>186</v>
      </c>
      <c r="D20" s="8" t="s">
        <v>35</v>
      </c>
      <c r="E20" s="8" t="s">
        <v>119</v>
      </c>
      <c r="F20" s="8" t="s">
        <v>38</v>
      </c>
      <c r="G20" s="10">
        <v>100.0</v>
      </c>
      <c r="H20" s="12"/>
      <c r="I20" s="1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18.0</v>
      </c>
      <c r="B21" s="5" t="s">
        <v>188</v>
      </c>
      <c r="C21" s="8" t="s">
        <v>189</v>
      </c>
      <c r="D21" s="8" t="s">
        <v>35</v>
      </c>
      <c r="E21" s="8" t="s">
        <v>192</v>
      </c>
      <c r="F21" s="8" t="s">
        <v>38</v>
      </c>
      <c r="G21" s="10">
        <v>100.0</v>
      </c>
      <c r="H21" s="12"/>
      <c r="I21" s="1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19.0</v>
      </c>
      <c r="B22" s="5" t="s">
        <v>195</v>
      </c>
      <c r="C22" s="8" t="s">
        <v>197</v>
      </c>
      <c r="D22" s="8" t="s">
        <v>35</v>
      </c>
      <c r="E22" s="8" t="s">
        <v>192</v>
      </c>
      <c r="F22" s="8" t="s">
        <v>38</v>
      </c>
      <c r="G22" s="10">
        <v>100.0</v>
      </c>
      <c r="H22" s="12"/>
      <c r="I22" s="1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20.0</v>
      </c>
      <c r="B23" s="5" t="s">
        <v>200</v>
      </c>
      <c r="C23" s="8" t="s">
        <v>202</v>
      </c>
      <c r="D23" s="8" t="s">
        <v>35</v>
      </c>
      <c r="E23" s="8" t="s">
        <v>36</v>
      </c>
      <c r="F23" s="8" t="s">
        <v>38</v>
      </c>
      <c r="G23" s="10">
        <v>100.0</v>
      </c>
      <c r="H23" s="12"/>
      <c r="I23" s="1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>
        <v>21.0</v>
      </c>
      <c r="B24" s="5" t="s">
        <v>206</v>
      </c>
      <c r="C24" s="8" t="s">
        <v>207</v>
      </c>
      <c r="D24" s="8" t="s">
        <v>35</v>
      </c>
      <c r="E24" s="8" t="s">
        <v>141</v>
      </c>
      <c r="F24" s="8" t="s">
        <v>209</v>
      </c>
      <c r="G24" s="10">
        <v>100.0</v>
      </c>
      <c r="H24" s="12"/>
      <c r="I24" s="1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22.0</v>
      </c>
      <c r="B25" s="5" t="s">
        <v>212</v>
      </c>
      <c r="C25" s="8" t="s">
        <v>214</v>
      </c>
      <c r="D25" s="8" t="s">
        <v>35</v>
      </c>
      <c r="E25" s="8" t="s">
        <v>141</v>
      </c>
      <c r="F25" s="8" t="s">
        <v>216</v>
      </c>
      <c r="G25" s="10">
        <v>100.0</v>
      </c>
      <c r="H25" s="12"/>
      <c r="I25" s="1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>
        <v>23.0</v>
      </c>
      <c r="B26" s="5" t="s">
        <v>220</v>
      </c>
      <c r="C26" s="8" t="s">
        <v>221</v>
      </c>
      <c r="D26" s="8" t="s">
        <v>78</v>
      </c>
      <c r="E26" s="8" t="s">
        <v>79</v>
      </c>
      <c r="F26" s="8" t="s">
        <v>223</v>
      </c>
      <c r="G26" s="10">
        <v>100.0</v>
      </c>
      <c r="H26" s="12"/>
      <c r="I26" s="1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>
        <v>24.0</v>
      </c>
      <c r="B27" s="5" t="s">
        <v>225</v>
      </c>
      <c r="C27" s="8" t="s">
        <v>226</v>
      </c>
      <c r="D27" s="8" t="s">
        <v>78</v>
      </c>
      <c r="E27" s="8" t="s">
        <v>79</v>
      </c>
      <c r="F27" s="8" t="s">
        <v>223</v>
      </c>
      <c r="G27" s="10">
        <v>100.0</v>
      </c>
      <c r="H27" s="12"/>
      <c r="I27" s="1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>
        <v>25.0</v>
      </c>
      <c r="B28" s="5" t="s">
        <v>229</v>
      </c>
      <c r="C28" s="8" t="s">
        <v>230</v>
      </c>
      <c r="D28" s="8" t="s">
        <v>78</v>
      </c>
      <c r="E28" s="8" t="s">
        <v>79</v>
      </c>
      <c r="F28" s="8" t="s">
        <v>223</v>
      </c>
      <c r="G28" s="10">
        <v>100.0</v>
      </c>
      <c r="H28" s="12"/>
      <c r="I28" s="1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>
        <v>26.0</v>
      </c>
      <c r="B29" s="5" t="s">
        <v>232</v>
      </c>
      <c r="C29" s="8" t="s">
        <v>233</v>
      </c>
      <c r="D29" s="8" t="s">
        <v>78</v>
      </c>
      <c r="E29" s="8" t="s">
        <v>79</v>
      </c>
      <c r="F29" s="8" t="s">
        <v>235</v>
      </c>
      <c r="G29" s="10">
        <v>100.0</v>
      </c>
      <c r="H29" s="12"/>
      <c r="I29" s="1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>
        <v>27.0</v>
      </c>
      <c r="B30" s="5" t="s">
        <v>237</v>
      </c>
      <c r="C30" s="8" t="s">
        <v>238</v>
      </c>
      <c r="D30" s="8" t="s">
        <v>78</v>
      </c>
      <c r="E30" s="8" t="s">
        <v>148</v>
      </c>
      <c r="F30" s="8" t="s">
        <v>239</v>
      </c>
      <c r="G30" s="10">
        <v>100.0</v>
      </c>
      <c r="H30" s="12"/>
      <c r="I30" s="1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28.0</v>
      </c>
      <c r="B31" s="5" t="s">
        <v>241</v>
      </c>
      <c r="C31" s="8" t="s">
        <v>242</v>
      </c>
      <c r="D31" s="8" t="s">
        <v>35</v>
      </c>
      <c r="E31" s="8" t="s">
        <v>141</v>
      </c>
      <c r="F31" s="8" t="s">
        <v>38</v>
      </c>
      <c r="G31" s="10">
        <v>100.0</v>
      </c>
      <c r="H31" s="12"/>
      <c r="I31" s="1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>
        <v>29.0</v>
      </c>
      <c r="B32" s="5" t="s">
        <v>244</v>
      </c>
      <c r="C32" s="8" t="s">
        <v>245</v>
      </c>
      <c r="D32" s="8" t="s">
        <v>78</v>
      </c>
      <c r="E32" s="8" t="s">
        <v>180</v>
      </c>
      <c r="F32" s="8" t="s">
        <v>150</v>
      </c>
      <c r="G32" s="10">
        <v>100.0</v>
      </c>
      <c r="H32" s="12"/>
      <c r="I32" s="1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30.0</v>
      </c>
      <c r="B33" s="5" t="s">
        <v>248</v>
      </c>
      <c r="C33" s="8" t="s">
        <v>249</v>
      </c>
      <c r="D33" s="8" t="s">
        <v>141</v>
      </c>
      <c r="E33" s="8" t="s">
        <v>141</v>
      </c>
      <c r="F33" s="8" t="s">
        <v>38</v>
      </c>
      <c r="G33" s="10">
        <v>100.0</v>
      </c>
      <c r="H33" s="12"/>
      <c r="I33" s="1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>
        <v>31.0</v>
      </c>
      <c r="B34" s="5" t="s">
        <v>251</v>
      </c>
      <c r="C34" s="8" t="s">
        <v>252</v>
      </c>
      <c r="D34" s="8" t="s">
        <v>78</v>
      </c>
      <c r="E34" s="8" t="s">
        <v>148</v>
      </c>
      <c r="F34" s="8" t="s">
        <v>150</v>
      </c>
      <c r="G34" s="10">
        <v>100.0</v>
      </c>
      <c r="H34" s="12"/>
      <c r="I34" s="1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32.0</v>
      </c>
      <c r="B35" s="5" t="s">
        <v>255</v>
      </c>
      <c r="C35" s="8" t="s">
        <v>256</v>
      </c>
      <c r="D35" s="8" t="s">
        <v>78</v>
      </c>
      <c r="E35" s="8" t="s">
        <v>148</v>
      </c>
      <c r="F35" s="8" t="s">
        <v>150</v>
      </c>
      <c r="G35" s="10">
        <v>100.0</v>
      </c>
      <c r="H35" s="12"/>
      <c r="I35" s="1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>
        <v>33.0</v>
      </c>
      <c r="B36" s="5" t="s">
        <v>258</v>
      </c>
      <c r="C36" s="8" t="s">
        <v>259</v>
      </c>
      <c r="D36" s="8" t="s">
        <v>78</v>
      </c>
      <c r="E36" s="8" t="s">
        <v>148</v>
      </c>
      <c r="F36" s="8" t="s">
        <v>150</v>
      </c>
      <c r="G36" s="10">
        <v>100.0</v>
      </c>
      <c r="H36" s="12"/>
      <c r="I36" s="1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34.0</v>
      </c>
      <c r="B37" s="5" t="s">
        <v>262</v>
      </c>
      <c r="C37" s="8" t="s">
        <v>263</v>
      </c>
      <c r="D37" s="8" t="s">
        <v>78</v>
      </c>
      <c r="E37" s="8" t="s">
        <v>148</v>
      </c>
      <c r="F37" s="8" t="s">
        <v>150</v>
      </c>
      <c r="G37" s="10">
        <v>100.0</v>
      </c>
      <c r="H37" s="12"/>
      <c r="I37" s="1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35.0</v>
      </c>
      <c r="B38" s="5" t="s">
        <v>267</v>
      </c>
      <c r="C38" s="8" t="s">
        <v>268</v>
      </c>
      <c r="D38" s="8" t="s">
        <v>78</v>
      </c>
      <c r="E38" s="8" t="s">
        <v>148</v>
      </c>
      <c r="F38" s="8" t="s">
        <v>150</v>
      </c>
      <c r="G38" s="10">
        <v>100.0</v>
      </c>
      <c r="H38" s="12"/>
      <c r="I38" s="1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36.0</v>
      </c>
      <c r="B39" s="5" t="s">
        <v>270</v>
      </c>
      <c r="C39" s="8" t="s">
        <v>271</v>
      </c>
      <c r="D39" s="8" t="s">
        <v>78</v>
      </c>
      <c r="E39" s="8" t="s">
        <v>148</v>
      </c>
      <c r="F39" s="8" t="s">
        <v>273</v>
      </c>
      <c r="G39" s="10">
        <v>100.0</v>
      </c>
      <c r="H39" s="12"/>
      <c r="I39" s="1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>
        <v>37.0</v>
      </c>
      <c r="B40" s="5" t="s">
        <v>275</v>
      </c>
      <c r="C40" s="8" t="s">
        <v>276</v>
      </c>
      <c r="D40" s="8" t="s">
        <v>78</v>
      </c>
      <c r="E40" s="8" t="s">
        <v>148</v>
      </c>
      <c r="F40" s="8" t="s">
        <v>273</v>
      </c>
      <c r="G40" s="10">
        <v>100.0</v>
      </c>
      <c r="H40" s="12"/>
      <c r="I40" s="1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>
        <v>38.0</v>
      </c>
      <c r="B41" s="5" t="s">
        <v>280</v>
      </c>
      <c r="C41" s="8" t="s">
        <v>281</v>
      </c>
      <c r="D41" s="8" t="s">
        <v>78</v>
      </c>
      <c r="E41" s="8" t="s">
        <v>148</v>
      </c>
      <c r="F41" s="8" t="s">
        <v>273</v>
      </c>
      <c r="G41" s="10">
        <v>100.0</v>
      </c>
      <c r="H41" s="12"/>
      <c r="I41" s="1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>
        <v>39.0</v>
      </c>
      <c r="B42" s="5" t="s">
        <v>286</v>
      </c>
      <c r="C42" s="8" t="s">
        <v>287</v>
      </c>
      <c r="D42" s="8" t="s">
        <v>60</v>
      </c>
      <c r="E42" s="8" t="s">
        <v>61</v>
      </c>
      <c r="F42" s="8" t="s">
        <v>235</v>
      </c>
      <c r="G42" s="10">
        <v>100.0</v>
      </c>
      <c r="H42" s="12"/>
      <c r="I42" s="1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40.0</v>
      </c>
      <c r="B43" s="5" t="s">
        <v>291</v>
      </c>
      <c r="C43" s="8" t="s">
        <v>292</v>
      </c>
      <c r="D43" s="8" t="s">
        <v>78</v>
      </c>
      <c r="E43" s="8" t="s">
        <v>293</v>
      </c>
      <c r="F43" s="8" t="s">
        <v>294</v>
      </c>
      <c r="G43" s="10">
        <v>100.0</v>
      </c>
      <c r="H43" s="12"/>
      <c r="I43" s="1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>
        <v>41.0</v>
      </c>
      <c r="B44" s="5" t="s">
        <v>296</v>
      </c>
      <c r="C44" s="8" t="s">
        <v>297</v>
      </c>
      <c r="D44" s="8" t="s">
        <v>35</v>
      </c>
      <c r="E44" s="8" t="s">
        <v>192</v>
      </c>
      <c r="F44" s="8" t="s">
        <v>38</v>
      </c>
      <c r="G44" s="10">
        <v>100.0</v>
      </c>
      <c r="H44" s="12"/>
      <c r="I44" s="1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42.0</v>
      </c>
      <c r="B45" s="5" t="s">
        <v>300</v>
      </c>
      <c r="C45" s="8" t="s">
        <v>301</v>
      </c>
      <c r="D45" s="8" t="s">
        <v>35</v>
      </c>
      <c r="E45" s="8" t="s">
        <v>141</v>
      </c>
      <c r="F45" s="8" t="s">
        <v>302</v>
      </c>
      <c r="G45" s="10">
        <v>100.0</v>
      </c>
      <c r="H45" s="12"/>
      <c r="I45" s="1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>
        <v>43.0</v>
      </c>
      <c r="B46" s="5" t="s">
        <v>305</v>
      </c>
      <c r="C46" s="8" t="s">
        <v>306</v>
      </c>
      <c r="D46" s="8" t="s">
        <v>78</v>
      </c>
      <c r="E46" s="8" t="s">
        <v>180</v>
      </c>
      <c r="F46" s="8" t="s">
        <v>307</v>
      </c>
      <c r="G46" s="10">
        <v>100.0</v>
      </c>
      <c r="H46" s="12"/>
      <c r="I46" s="1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>
        <v>44.0</v>
      </c>
      <c r="B47" s="5" t="s">
        <v>309</v>
      </c>
      <c r="C47" s="8" t="s">
        <v>310</v>
      </c>
      <c r="D47" s="8" t="s">
        <v>78</v>
      </c>
      <c r="E47" s="8" t="s">
        <v>180</v>
      </c>
      <c r="F47" s="8" t="s">
        <v>312</v>
      </c>
      <c r="G47" s="10">
        <v>100.0</v>
      </c>
      <c r="H47" s="12"/>
      <c r="I47" s="1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>
        <v>45.0</v>
      </c>
      <c r="B48" s="5" t="s">
        <v>314</v>
      </c>
      <c r="C48" s="8" t="s">
        <v>315</v>
      </c>
      <c r="D48" s="8" t="s">
        <v>78</v>
      </c>
      <c r="E48" s="8" t="s">
        <v>148</v>
      </c>
      <c r="F48" s="8" t="s">
        <v>316</v>
      </c>
      <c r="G48" s="10">
        <v>100.0</v>
      </c>
      <c r="H48" s="12"/>
      <c r="I48" s="1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>
        <v>46.0</v>
      </c>
      <c r="B49" s="5" t="s">
        <v>318</v>
      </c>
      <c r="C49" s="8" t="s">
        <v>319</v>
      </c>
      <c r="D49" s="8" t="s">
        <v>78</v>
      </c>
      <c r="E49" s="8" t="s">
        <v>321</v>
      </c>
      <c r="F49" s="8" t="s">
        <v>322</v>
      </c>
      <c r="G49" s="10">
        <v>100.0</v>
      </c>
      <c r="H49" s="12"/>
      <c r="I49" s="1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>
        <v>47.0</v>
      </c>
      <c r="B50" s="5" t="s">
        <v>324</v>
      </c>
      <c r="C50" s="8" t="s">
        <v>326</v>
      </c>
      <c r="D50" s="8" t="s">
        <v>78</v>
      </c>
      <c r="E50" s="8" t="s">
        <v>321</v>
      </c>
      <c r="F50" s="8" t="s">
        <v>328</v>
      </c>
      <c r="G50" s="10">
        <v>100.0</v>
      </c>
      <c r="H50" s="12"/>
      <c r="I50" s="1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>
        <v>48.0</v>
      </c>
      <c r="B51" s="5" t="s">
        <v>331</v>
      </c>
      <c r="C51" s="8" t="s">
        <v>333</v>
      </c>
      <c r="D51" s="8" t="s">
        <v>78</v>
      </c>
      <c r="E51" s="8" t="s">
        <v>79</v>
      </c>
      <c r="F51" s="8" t="s">
        <v>150</v>
      </c>
      <c r="G51" s="10">
        <v>100.0</v>
      </c>
      <c r="H51" s="12"/>
      <c r="I51" s="1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>
        <v>49.0</v>
      </c>
      <c r="B52" s="5" t="s">
        <v>336</v>
      </c>
      <c r="C52" s="8" t="s">
        <v>337</v>
      </c>
      <c r="D52" s="8" t="s">
        <v>35</v>
      </c>
      <c r="E52" s="8" t="s">
        <v>119</v>
      </c>
      <c r="F52" s="8" t="s">
        <v>38</v>
      </c>
      <c r="G52" s="10">
        <v>100.0</v>
      </c>
      <c r="H52" s="12"/>
      <c r="I52" s="1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>
        <v>50.0</v>
      </c>
      <c r="B53" s="5" t="s">
        <v>341</v>
      </c>
      <c r="C53" s="8" t="s">
        <v>342</v>
      </c>
      <c r="D53" s="8" t="s">
        <v>35</v>
      </c>
      <c r="E53" s="8" t="s">
        <v>119</v>
      </c>
      <c r="F53" s="8" t="s">
        <v>38</v>
      </c>
      <c r="G53" s="10">
        <v>100.0</v>
      </c>
      <c r="H53" s="12"/>
      <c r="I53" s="1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>
        <v>51.0</v>
      </c>
      <c r="B54" s="5" t="s">
        <v>345</v>
      </c>
      <c r="C54" s="8" t="s">
        <v>346</v>
      </c>
      <c r="D54" s="8" t="s">
        <v>60</v>
      </c>
      <c r="E54" s="8" t="s">
        <v>61</v>
      </c>
      <c r="F54" s="8" t="s">
        <v>347</v>
      </c>
      <c r="G54" s="10">
        <v>100.0</v>
      </c>
      <c r="H54" s="12"/>
      <c r="I54" s="1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>
        <v>52.0</v>
      </c>
      <c r="B55" s="5" t="s">
        <v>349</v>
      </c>
      <c r="C55" s="8" t="s">
        <v>350</v>
      </c>
      <c r="D55" s="8" t="s">
        <v>60</v>
      </c>
      <c r="E55" s="8" t="s">
        <v>61</v>
      </c>
      <c r="F55" s="8" t="s">
        <v>351</v>
      </c>
      <c r="G55" s="10">
        <v>100.0</v>
      </c>
      <c r="H55" s="12"/>
      <c r="I55" s="1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>
        <v>53.0</v>
      </c>
      <c r="B56" s="5" t="s">
        <v>355</v>
      </c>
      <c r="C56" s="8" t="s">
        <v>357</v>
      </c>
      <c r="D56" s="8" t="s">
        <v>60</v>
      </c>
      <c r="E56" s="8" t="s">
        <v>61</v>
      </c>
      <c r="F56" s="8" t="s">
        <v>358</v>
      </c>
      <c r="G56" s="10">
        <v>100.0</v>
      </c>
      <c r="H56" s="12"/>
      <c r="I56" s="1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>
        <v>54.0</v>
      </c>
      <c r="B57" s="5" t="s">
        <v>360</v>
      </c>
      <c r="C57" s="8" t="s">
        <v>361</v>
      </c>
      <c r="D57" s="8" t="s">
        <v>35</v>
      </c>
      <c r="E57" s="8" t="s">
        <v>141</v>
      </c>
      <c r="F57" s="8" t="s">
        <v>38</v>
      </c>
      <c r="G57" s="10">
        <v>100.0</v>
      </c>
      <c r="H57" s="12"/>
      <c r="I57" s="1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>
        <v>55.0</v>
      </c>
      <c r="B58" s="5" t="s">
        <v>363</v>
      </c>
      <c r="C58" s="8" t="s">
        <v>364</v>
      </c>
      <c r="D58" s="8" t="s">
        <v>35</v>
      </c>
      <c r="E58" s="8" t="s">
        <v>141</v>
      </c>
      <c r="F58" s="8" t="s">
        <v>38</v>
      </c>
      <c r="G58" s="10">
        <v>100.0</v>
      </c>
      <c r="H58" s="12"/>
      <c r="I58" s="1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>
        <v>56.0</v>
      </c>
      <c r="B59" s="5" t="s">
        <v>366</v>
      </c>
      <c r="C59" s="8" t="s">
        <v>367</v>
      </c>
      <c r="D59" s="8" t="s">
        <v>60</v>
      </c>
      <c r="E59" s="8" t="s">
        <v>61</v>
      </c>
      <c r="F59" s="8" t="s">
        <v>150</v>
      </c>
      <c r="G59" s="10">
        <v>100.0</v>
      </c>
      <c r="H59" s="12"/>
      <c r="I59" s="1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>
        <v>57.0</v>
      </c>
      <c r="B60" s="5" t="s">
        <v>372</v>
      </c>
      <c r="C60" s="8" t="s">
        <v>373</v>
      </c>
      <c r="D60" s="8" t="s">
        <v>35</v>
      </c>
      <c r="E60" s="8" t="s">
        <v>36</v>
      </c>
      <c r="F60" s="8" t="s">
        <v>38</v>
      </c>
      <c r="G60" s="10">
        <v>100.0</v>
      </c>
      <c r="H60" s="12"/>
      <c r="I60" s="1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58.0</v>
      </c>
      <c r="B61" s="5" t="s">
        <v>375</v>
      </c>
      <c r="C61" s="8" t="s">
        <v>376</v>
      </c>
      <c r="D61" s="8" t="s">
        <v>35</v>
      </c>
      <c r="E61" s="8" t="s">
        <v>36</v>
      </c>
      <c r="F61" s="8" t="s">
        <v>38</v>
      </c>
      <c r="G61" s="10">
        <v>100.0</v>
      </c>
      <c r="H61" s="12"/>
      <c r="I61" s="1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v>59.0</v>
      </c>
      <c r="B62" s="5" t="s">
        <v>378</v>
      </c>
      <c r="C62" s="8" t="s">
        <v>379</v>
      </c>
      <c r="D62" s="8" t="s">
        <v>60</v>
      </c>
      <c r="E62" s="8" t="s">
        <v>61</v>
      </c>
      <c r="F62" s="8" t="s">
        <v>235</v>
      </c>
      <c r="G62" s="10">
        <v>100.0</v>
      </c>
      <c r="H62" s="12"/>
      <c r="I62" s="1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>
        <v>60.0</v>
      </c>
      <c r="B63" s="5" t="s">
        <v>382</v>
      </c>
      <c r="C63" s="8" t="s">
        <v>383</v>
      </c>
      <c r="D63" s="8" t="s">
        <v>60</v>
      </c>
      <c r="E63" s="8" t="s">
        <v>61</v>
      </c>
      <c r="F63" s="8" t="s">
        <v>384</v>
      </c>
      <c r="G63" s="10">
        <v>100.0</v>
      </c>
      <c r="H63" s="12"/>
      <c r="I63" s="1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>
        <v>61.0</v>
      </c>
      <c r="B64" s="5" t="s">
        <v>387</v>
      </c>
      <c r="C64" s="8" t="s">
        <v>388</v>
      </c>
      <c r="D64" s="8" t="s">
        <v>60</v>
      </c>
      <c r="E64" s="8" t="s">
        <v>61</v>
      </c>
      <c r="F64" s="8" t="s">
        <v>351</v>
      </c>
      <c r="G64" s="10">
        <v>100.0</v>
      </c>
      <c r="H64" s="12"/>
      <c r="I64" s="1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>
        <v>62.0</v>
      </c>
      <c r="B65" s="5" t="s">
        <v>390</v>
      </c>
      <c r="C65" s="8" t="s">
        <v>391</v>
      </c>
      <c r="D65" s="8" t="s">
        <v>35</v>
      </c>
      <c r="E65" s="8" t="s">
        <v>192</v>
      </c>
      <c r="F65" s="8" t="s">
        <v>38</v>
      </c>
      <c r="G65" s="10">
        <v>100.0</v>
      </c>
      <c r="H65" s="12"/>
      <c r="I65" s="1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>
        <v>63.0</v>
      </c>
      <c r="B66" s="5" t="s">
        <v>394</v>
      </c>
      <c r="C66" s="8" t="s">
        <v>395</v>
      </c>
      <c r="D66" s="8" t="s">
        <v>208</v>
      </c>
      <c r="E66" s="8" t="s">
        <v>192</v>
      </c>
      <c r="F66" s="8" t="s">
        <v>38</v>
      </c>
      <c r="G66" s="10">
        <v>100.0</v>
      </c>
      <c r="H66" s="12"/>
      <c r="I66" s="1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>
        <v>64.0</v>
      </c>
      <c r="B67" s="5" t="s">
        <v>397</v>
      </c>
      <c r="C67" s="8" t="s">
        <v>398</v>
      </c>
      <c r="D67" s="8" t="s">
        <v>35</v>
      </c>
      <c r="E67" s="8" t="s">
        <v>192</v>
      </c>
      <c r="F67" s="8" t="s">
        <v>45</v>
      </c>
      <c r="G67" s="10">
        <v>100.0</v>
      </c>
      <c r="H67" s="12"/>
      <c r="I67" s="1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>
        <v>65.0</v>
      </c>
      <c r="B68" s="5" t="s">
        <v>401</v>
      </c>
      <c r="C68" s="8" t="s">
        <v>402</v>
      </c>
      <c r="D68" s="8" t="s">
        <v>35</v>
      </c>
      <c r="E68" s="8" t="s">
        <v>141</v>
      </c>
      <c r="F68" s="8" t="s">
        <v>403</v>
      </c>
      <c r="G68" s="10">
        <v>100.0</v>
      </c>
      <c r="H68" s="12"/>
      <c r="I68" s="1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>
        <v>66.0</v>
      </c>
      <c r="B69" s="5" t="s">
        <v>405</v>
      </c>
      <c r="C69" s="8" t="s">
        <v>406</v>
      </c>
      <c r="D69" s="8" t="s">
        <v>35</v>
      </c>
      <c r="E69" s="8" t="s">
        <v>141</v>
      </c>
      <c r="F69" s="8" t="s">
        <v>403</v>
      </c>
      <c r="G69" s="10">
        <v>100.0</v>
      </c>
      <c r="H69" s="12"/>
      <c r="I69" s="1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>
        <v>67.0</v>
      </c>
      <c r="B70" s="5" t="s">
        <v>410</v>
      </c>
      <c r="C70" s="8" t="s">
        <v>411</v>
      </c>
      <c r="D70" s="8" t="s">
        <v>35</v>
      </c>
      <c r="E70" s="8" t="s">
        <v>141</v>
      </c>
      <c r="F70" s="8" t="s">
        <v>403</v>
      </c>
      <c r="G70" s="10">
        <v>100.0</v>
      </c>
      <c r="H70" s="12"/>
      <c r="I70" s="1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>
        <v>68.0</v>
      </c>
      <c r="B71" s="5" t="s">
        <v>413</v>
      </c>
      <c r="C71" s="8" t="s">
        <v>415</v>
      </c>
      <c r="D71" s="8" t="s">
        <v>35</v>
      </c>
      <c r="E71" s="8" t="s">
        <v>141</v>
      </c>
      <c r="F71" s="8" t="s">
        <v>403</v>
      </c>
      <c r="G71" s="10">
        <v>100.0</v>
      </c>
      <c r="H71" s="12"/>
      <c r="I71" s="1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>
        <v>69.0</v>
      </c>
      <c r="B72" s="5" t="s">
        <v>418</v>
      </c>
      <c r="C72" s="8" t="s">
        <v>419</v>
      </c>
      <c r="D72" s="8" t="s">
        <v>208</v>
      </c>
      <c r="E72" s="8" t="s">
        <v>192</v>
      </c>
      <c r="F72" s="8" t="s">
        <v>420</v>
      </c>
      <c r="G72" s="10">
        <v>100.0</v>
      </c>
      <c r="H72" s="12"/>
      <c r="I72" s="1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>
        <v>70.0</v>
      </c>
      <c r="B73" s="5" t="s">
        <v>422</v>
      </c>
      <c r="C73" s="8" t="s">
        <v>424</v>
      </c>
      <c r="D73" s="8" t="s">
        <v>208</v>
      </c>
      <c r="E73" s="8" t="s">
        <v>192</v>
      </c>
      <c r="F73" s="8" t="s">
        <v>420</v>
      </c>
      <c r="G73" s="10">
        <v>100.0</v>
      </c>
      <c r="H73" s="12"/>
      <c r="I73" s="1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>
        <v>71.0</v>
      </c>
      <c r="B74" s="5" t="s">
        <v>426</v>
      </c>
      <c r="C74" s="8" t="s">
        <v>428</v>
      </c>
      <c r="D74" s="8" t="s">
        <v>208</v>
      </c>
      <c r="E74" s="8" t="s">
        <v>192</v>
      </c>
      <c r="F74" s="8" t="s">
        <v>420</v>
      </c>
      <c r="G74" s="10">
        <v>100.0</v>
      </c>
      <c r="H74" s="12"/>
      <c r="I74" s="1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>
        <v>72.0</v>
      </c>
      <c r="B75" s="5" t="s">
        <v>430</v>
      </c>
      <c r="C75" s="8" t="s">
        <v>431</v>
      </c>
      <c r="D75" s="8" t="s">
        <v>208</v>
      </c>
      <c r="E75" s="8" t="s">
        <v>192</v>
      </c>
      <c r="F75" s="8" t="s">
        <v>62</v>
      </c>
      <c r="G75" s="10">
        <v>100.0</v>
      </c>
      <c r="H75" s="12"/>
      <c r="I75" s="1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>
        <v>73.0</v>
      </c>
      <c r="B76" s="5" t="s">
        <v>434</v>
      </c>
      <c r="C76" s="8" t="s">
        <v>435</v>
      </c>
      <c r="D76" s="8" t="s">
        <v>208</v>
      </c>
      <c r="E76" s="8" t="s">
        <v>192</v>
      </c>
      <c r="F76" s="8" t="s">
        <v>62</v>
      </c>
      <c r="G76" s="10">
        <v>100.0</v>
      </c>
      <c r="H76" s="12"/>
      <c r="I76" s="1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>
        <v>74.0</v>
      </c>
      <c r="B77" s="5" t="s">
        <v>438</v>
      </c>
      <c r="C77" s="8" t="s">
        <v>439</v>
      </c>
      <c r="D77" s="8" t="s">
        <v>35</v>
      </c>
      <c r="E77" s="8" t="s">
        <v>141</v>
      </c>
      <c r="F77" s="8" t="s">
        <v>442</v>
      </c>
      <c r="G77" s="10">
        <v>100.0</v>
      </c>
      <c r="H77" s="12"/>
      <c r="I77" s="1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>
        <v>75.0</v>
      </c>
      <c r="B78" s="5" t="s">
        <v>443</v>
      </c>
      <c r="C78" s="8" t="s">
        <v>444</v>
      </c>
      <c r="D78" s="8" t="s">
        <v>35</v>
      </c>
      <c r="E78" s="8" t="s">
        <v>141</v>
      </c>
      <c r="F78" s="8" t="s">
        <v>442</v>
      </c>
      <c r="G78" s="10">
        <v>100.0</v>
      </c>
      <c r="H78" s="12"/>
      <c r="I78" s="1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>
        <v>76.0</v>
      </c>
      <c r="B79" s="5" t="s">
        <v>445</v>
      </c>
      <c r="C79" s="8" t="s">
        <v>446</v>
      </c>
      <c r="D79" s="8" t="s">
        <v>78</v>
      </c>
      <c r="E79" s="8" t="s">
        <v>447</v>
      </c>
      <c r="F79" s="8" t="s">
        <v>235</v>
      </c>
      <c r="G79" s="10">
        <v>100.0</v>
      </c>
      <c r="H79" s="12"/>
      <c r="I79" s="1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>
        <v>77.0</v>
      </c>
      <c r="B80" s="5" t="s">
        <v>448</v>
      </c>
      <c r="C80" s="8" t="s">
        <v>449</v>
      </c>
      <c r="D80" s="8" t="s">
        <v>60</v>
      </c>
      <c r="E80" s="8" t="s">
        <v>61</v>
      </c>
      <c r="F80" s="8" t="s">
        <v>43</v>
      </c>
      <c r="G80" s="10">
        <v>100.0</v>
      </c>
      <c r="H80" s="12"/>
      <c r="I80" s="1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>
        <v>78.0</v>
      </c>
      <c r="B81" s="5" t="s">
        <v>450</v>
      </c>
      <c r="C81" s="8" t="s">
        <v>451</v>
      </c>
      <c r="D81" s="8" t="s">
        <v>60</v>
      </c>
      <c r="E81" s="8" t="s">
        <v>61</v>
      </c>
      <c r="F81" s="8" t="s">
        <v>235</v>
      </c>
      <c r="G81" s="10">
        <v>100.0</v>
      </c>
      <c r="H81" s="12"/>
      <c r="I81" s="1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>
        <v>79.0</v>
      </c>
      <c r="B82" s="5" t="s">
        <v>453</v>
      </c>
      <c r="C82" s="8" t="s">
        <v>455</v>
      </c>
      <c r="D82" s="8" t="s">
        <v>78</v>
      </c>
      <c r="E82" s="8" t="s">
        <v>447</v>
      </c>
      <c r="F82" s="8" t="s">
        <v>235</v>
      </c>
      <c r="G82" s="10">
        <v>100.0</v>
      </c>
      <c r="H82" s="12"/>
      <c r="I82" s="1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80.0</v>
      </c>
      <c r="B83" s="5" t="s">
        <v>456</v>
      </c>
      <c r="C83" s="8" t="s">
        <v>457</v>
      </c>
      <c r="D83" s="8" t="s">
        <v>78</v>
      </c>
      <c r="E83" s="8" t="s">
        <v>447</v>
      </c>
      <c r="F83" s="8" t="s">
        <v>235</v>
      </c>
      <c r="G83" s="10">
        <v>100.0</v>
      </c>
      <c r="H83" s="12"/>
      <c r="I83" s="1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>
        <v>81.0</v>
      </c>
      <c r="B84" s="5" t="s">
        <v>458</v>
      </c>
      <c r="C84" s="8" t="s">
        <v>459</v>
      </c>
      <c r="D84" s="8" t="s">
        <v>78</v>
      </c>
      <c r="E84" s="8" t="s">
        <v>447</v>
      </c>
      <c r="F84" s="8" t="s">
        <v>460</v>
      </c>
      <c r="G84" s="10">
        <v>100.0</v>
      </c>
      <c r="H84" s="12"/>
      <c r="I84" s="1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>
        <v>82.0</v>
      </c>
      <c r="B85" s="5" t="s">
        <v>461</v>
      </c>
      <c r="C85" s="8" t="s">
        <v>462</v>
      </c>
      <c r="D85" s="8" t="s">
        <v>78</v>
      </c>
      <c r="E85" s="8" t="s">
        <v>447</v>
      </c>
      <c r="F85" s="8" t="s">
        <v>463</v>
      </c>
      <c r="G85" s="10">
        <v>100.0</v>
      </c>
      <c r="H85" s="12"/>
      <c r="I85" s="1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>
        <v>83.0</v>
      </c>
      <c r="B86" s="5" t="s">
        <v>464</v>
      </c>
      <c r="C86" s="8" t="s">
        <v>465</v>
      </c>
      <c r="D86" s="8" t="s">
        <v>60</v>
      </c>
      <c r="E86" s="8" t="s">
        <v>61</v>
      </c>
      <c r="F86" s="8" t="s">
        <v>235</v>
      </c>
      <c r="G86" s="10">
        <v>100.0</v>
      </c>
      <c r="H86" s="12"/>
      <c r="I86" s="1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>
        <v>84.0</v>
      </c>
      <c r="B87" s="5" t="s">
        <v>467</v>
      </c>
      <c r="C87" s="8" t="s">
        <v>469</v>
      </c>
      <c r="D87" s="8" t="s">
        <v>78</v>
      </c>
      <c r="E87" s="8" t="s">
        <v>447</v>
      </c>
      <c r="F87" s="8" t="s">
        <v>235</v>
      </c>
      <c r="G87" s="10">
        <v>100.0</v>
      </c>
      <c r="H87" s="12"/>
      <c r="I87" s="1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>
        <v>85.0</v>
      </c>
      <c r="B88" s="5" t="s">
        <v>470</v>
      </c>
      <c r="C88" s="8" t="s">
        <v>471</v>
      </c>
      <c r="D88" s="8" t="s">
        <v>78</v>
      </c>
      <c r="E88" s="8" t="s">
        <v>447</v>
      </c>
      <c r="F88" s="8" t="s">
        <v>463</v>
      </c>
      <c r="G88" s="10">
        <v>100.0</v>
      </c>
      <c r="H88" s="12"/>
      <c r="I88" s="1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>
        <v>86.0</v>
      </c>
      <c r="B89" s="5" t="s">
        <v>474</v>
      </c>
      <c r="C89" s="8" t="s">
        <v>475</v>
      </c>
      <c r="D89" s="8" t="s">
        <v>60</v>
      </c>
      <c r="E89" s="8" t="s">
        <v>61</v>
      </c>
      <c r="F89" s="8" t="s">
        <v>235</v>
      </c>
      <c r="G89" s="10">
        <v>100.0</v>
      </c>
      <c r="H89" s="12"/>
      <c r="I89" s="1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>
        <v>87.0</v>
      </c>
      <c r="B90" s="5" t="s">
        <v>478</v>
      </c>
      <c r="C90" s="8" t="s">
        <v>479</v>
      </c>
      <c r="D90" s="8" t="s">
        <v>78</v>
      </c>
      <c r="E90" s="8" t="s">
        <v>447</v>
      </c>
      <c r="F90" s="8" t="s">
        <v>480</v>
      </c>
      <c r="G90" s="10">
        <v>100.0</v>
      </c>
      <c r="H90" s="12"/>
      <c r="I90" s="1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>
        <v>88.0</v>
      </c>
      <c r="B91" s="5" t="s">
        <v>481</v>
      </c>
      <c r="C91" s="8" t="s">
        <v>483</v>
      </c>
      <c r="D91" s="8" t="s">
        <v>78</v>
      </c>
      <c r="E91" s="8" t="s">
        <v>447</v>
      </c>
      <c r="F91" s="8" t="s">
        <v>235</v>
      </c>
      <c r="G91" s="10">
        <v>100.0</v>
      </c>
      <c r="H91" s="12"/>
      <c r="I91" s="1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>
        <v>89.0</v>
      </c>
      <c r="B92" s="5" t="s">
        <v>486</v>
      </c>
      <c r="C92" s="8" t="s">
        <v>488</v>
      </c>
      <c r="D92" s="8" t="s">
        <v>78</v>
      </c>
      <c r="E92" s="8" t="s">
        <v>447</v>
      </c>
      <c r="F92" s="8" t="s">
        <v>235</v>
      </c>
      <c r="G92" s="10">
        <v>100.0</v>
      </c>
      <c r="H92" s="12"/>
      <c r="I92" s="1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90.0</v>
      </c>
      <c r="B93" s="5" t="s">
        <v>489</v>
      </c>
      <c r="C93" s="8" t="s">
        <v>490</v>
      </c>
      <c r="D93" s="8" t="s">
        <v>78</v>
      </c>
      <c r="E93" s="8" t="s">
        <v>447</v>
      </c>
      <c r="F93" s="8" t="s">
        <v>235</v>
      </c>
      <c r="G93" s="10">
        <v>100.0</v>
      </c>
      <c r="H93" s="12"/>
      <c r="I93" s="1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>
        <v>91.0</v>
      </c>
      <c r="B94" s="5" t="s">
        <v>491</v>
      </c>
      <c r="C94" s="8" t="s">
        <v>492</v>
      </c>
      <c r="D94" s="8" t="s">
        <v>78</v>
      </c>
      <c r="E94" s="8" t="s">
        <v>447</v>
      </c>
      <c r="F94" s="8" t="s">
        <v>223</v>
      </c>
      <c r="G94" s="10">
        <v>100.0</v>
      </c>
      <c r="H94" s="12"/>
      <c r="I94" s="1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92.0</v>
      </c>
      <c r="B95" s="5" t="s">
        <v>493</v>
      </c>
      <c r="C95" s="8" t="s">
        <v>494</v>
      </c>
      <c r="D95" s="8" t="s">
        <v>78</v>
      </c>
      <c r="E95" s="8" t="s">
        <v>447</v>
      </c>
      <c r="F95" s="8" t="s">
        <v>235</v>
      </c>
      <c r="G95" s="10">
        <v>100.0</v>
      </c>
      <c r="H95" s="12"/>
      <c r="I95" s="1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>
        <v>93.0</v>
      </c>
      <c r="B96" s="5" t="s">
        <v>497</v>
      </c>
      <c r="C96" s="8" t="s">
        <v>498</v>
      </c>
      <c r="D96" s="8" t="s">
        <v>78</v>
      </c>
      <c r="E96" s="8" t="s">
        <v>148</v>
      </c>
      <c r="F96" s="8" t="s">
        <v>499</v>
      </c>
      <c r="G96" s="10">
        <v>100.0</v>
      </c>
      <c r="H96" s="12"/>
      <c r="I96" s="1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>
        <v>94.0</v>
      </c>
      <c r="B97" s="5" t="s">
        <v>500</v>
      </c>
      <c r="C97" s="8" t="s">
        <v>501</v>
      </c>
      <c r="D97" s="8" t="s">
        <v>78</v>
      </c>
      <c r="E97" s="8" t="s">
        <v>180</v>
      </c>
      <c r="F97" s="8" t="s">
        <v>150</v>
      </c>
      <c r="G97" s="10">
        <v>100.0</v>
      </c>
      <c r="H97" s="12"/>
      <c r="I97" s="1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>
        <v>95.0</v>
      </c>
      <c r="B98" s="5" t="s">
        <v>503</v>
      </c>
      <c r="C98" s="8" t="s">
        <v>504</v>
      </c>
      <c r="D98" s="8" t="s">
        <v>78</v>
      </c>
      <c r="E98" s="8" t="s">
        <v>180</v>
      </c>
      <c r="F98" s="8" t="s">
        <v>505</v>
      </c>
      <c r="G98" s="10">
        <v>100.0</v>
      </c>
      <c r="H98" s="12"/>
      <c r="I98" s="1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>
        <v>96.0</v>
      </c>
      <c r="B99" s="5" t="s">
        <v>506</v>
      </c>
      <c r="C99" s="8" t="s">
        <v>507</v>
      </c>
      <c r="D99" s="8" t="s">
        <v>78</v>
      </c>
      <c r="E99" s="8" t="s">
        <v>508</v>
      </c>
      <c r="F99" s="8" t="s">
        <v>509</v>
      </c>
      <c r="G99" s="10">
        <v>100.0</v>
      </c>
      <c r="H99" s="12"/>
      <c r="I99" s="1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>
        <v>97.0</v>
      </c>
      <c r="B100" s="5" t="s">
        <v>510</v>
      </c>
      <c r="C100" s="8" t="s">
        <v>511</v>
      </c>
      <c r="D100" s="8" t="s">
        <v>78</v>
      </c>
      <c r="E100" s="8" t="s">
        <v>508</v>
      </c>
      <c r="F100" s="8" t="s">
        <v>509</v>
      </c>
      <c r="G100" s="10">
        <v>100.0</v>
      </c>
      <c r="H100" s="12"/>
      <c r="I100" s="1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>
        <v>98.0</v>
      </c>
      <c r="B101" s="5" t="s">
        <v>514</v>
      </c>
      <c r="C101" s="8" t="s">
        <v>515</v>
      </c>
      <c r="D101" s="8" t="s">
        <v>78</v>
      </c>
      <c r="E101" s="8" t="s">
        <v>508</v>
      </c>
      <c r="F101" s="8" t="s">
        <v>517</v>
      </c>
      <c r="G101" s="10">
        <v>100.0</v>
      </c>
      <c r="H101" s="12"/>
      <c r="I101" s="1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>
        <v>99.0</v>
      </c>
      <c r="B102" s="5" t="s">
        <v>520</v>
      </c>
      <c r="C102" s="8" t="s">
        <v>521</v>
      </c>
      <c r="D102" s="8" t="s">
        <v>78</v>
      </c>
      <c r="E102" s="8" t="s">
        <v>508</v>
      </c>
      <c r="F102" s="8" t="s">
        <v>523</v>
      </c>
      <c r="G102" s="10">
        <v>100.0</v>
      </c>
      <c r="H102" s="12"/>
      <c r="I102" s="1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>
        <v>100.0</v>
      </c>
      <c r="B103" s="5" t="s">
        <v>526</v>
      </c>
      <c r="C103" s="8" t="s">
        <v>527</v>
      </c>
      <c r="D103" s="8" t="s">
        <v>60</v>
      </c>
      <c r="E103" s="8" t="s">
        <v>61</v>
      </c>
      <c r="F103" s="8" t="s">
        <v>150</v>
      </c>
      <c r="G103" s="10">
        <v>100.0</v>
      </c>
      <c r="H103" s="12"/>
      <c r="I103" s="1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>
        <v>101.0</v>
      </c>
      <c r="B104" s="5" t="s">
        <v>530</v>
      </c>
      <c r="C104" s="8" t="s">
        <v>531</v>
      </c>
      <c r="D104" s="8" t="s">
        <v>60</v>
      </c>
      <c r="E104" s="8" t="s">
        <v>61</v>
      </c>
      <c r="F104" s="8" t="s">
        <v>534</v>
      </c>
      <c r="G104" s="10">
        <v>100.0</v>
      </c>
      <c r="H104" s="12"/>
      <c r="I104" s="1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>
        <v>102.0</v>
      </c>
      <c r="B105" s="5" t="s">
        <v>535</v>
      </c>
      <c r="C105" s="8" t="s">
        <v>536</v>
      </c>
      <c r="D105" s="8" t="s">
        <v>78</v>
      </c>
      <c r="E105" s="8" t="s">
        <v>508</v>
      </c>
      <c r="F105" s="8" t="s">
        <v>537</v>
      </c>
      <c r="G105" s="10">
        <v>100.0</v>
      </c>
      <c r="H105" s="12"/>
      <c r="I105" s="1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>
        <v>103.0</v>
      </c>
      <c r="B106" s="5" t="s">
        <v>538</v>
      </c>
      <c r="C106" s="8" t="s">
        <v>539</v>
      </c>
      <c r="D106" s="8" t="s">
        <v>78</v>
      </c>
      <c r="E106" s="8" t="s">
        <v>508</v>
      </c>
      <c r="F106" s="8" t="s">
        <v>537</v>
      </c>
      <c r="G106" s="10">
        <v>100.0</v>
      </c>
      <c r="H106" s="12"/>
      <c r="I106" s="1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>
        <v>104.0</v>
      </c>
      <c r="B107" s="5" t="s">
        <v>540</v>
      </c>
      <c r="C107" s="8" t="s">
        <v>541</v>
      </c>
      <c r="D107" s="8" t="s">
        <v>60</v>
      </c>
      <c r="E107" s="8" t="s">
        <v>61</v>
      </c>
      <c r="F107" s="8" t="s">
        <v>150</v>
      </c>
      <c r="G107" s="10">
        <v>100.0</v>
      </c>
      <c r="H107" s="12"/>
      <c r="I107" s="1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>
        <v>105.0</v>
      </c>
      <c r="B108" s="5" t="s">
        <v>542</v>
      </c>
      <c r="C108" s="8" t="s">
        <v>543</v>
      </c>
      <c r="D108" s="8" t="s">
        <v>35</v>
      </c>
      <c r="E108" s="8" t="s">
        <v>119</v>
      </c>
      <c r="F108" s="8" t="s">
        <v>544</v>
      </c>
      <c r="G108" s="10">
        <v>100.0</v>
      </c>
      <c r="H108" s="12"/>
      <c r="I108" s="1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>
        <v>106.0</v>
      </c>
      <c r="B109" s="5" t="s">
        <v>545</v>
      </c>
      <c r="C109" s="8" t="s">
        <v>546</v>
      </c>
      <c r="D109" s="8" t="s">
        <v>35</v>
      </c>
      <c r="E109" s="8" t="s">
        <v>119</v>
      </c>
      <c r="F109" s="8" t="s">
        <v>544</v>
      </c>
      <c r="G109" s="10">
        <v>100.0</v>
      </c>
      <c r="H109" s="12"/>
      <c r="I109" s="1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>
        <v>107.0</v>
      </c>
      <c r="B110" s="5" t="s">
        <v>547</v>
      </c>
      <c r="C110" s="8" t="s">
        <v>548</v>
      </c>
      <c r="D110" s="8" t="s">
        <v>60</v>
      </c>
      <c r="E110" s="8" t="s">
        <v>61</v>
      </c>
      <c r="F110" s="8" t="s">
        <v>150</v>
      </c>
      <c r="G110" s="10">
        <v>100.0</v>
      </c>
      <c r="H110" s="12"/>
      <c r="I110" s="1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>
        <v>108.0</v>
      </c>
      <c r="B111" s="5" t="s">
        <v>549</v>
      </c>
      <c r="C111" s="8" t="s">
        <v>550</v>
      </c>
      <c r="D111" s="8" t="s">
        <v>60</v>
      </c>
      <c r="E111" s="8" t="s">
        <v>61</v>
      </c>
      <c r="F111" s="8" t="s">
        <v>62</v>
      </c>
      <c r="G111" s="10">
        <v>100.0</v>
      </c>
      <c r="H111" s="12"/>
      <c r="I111" s="1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>
        <v>109.0</v>
      </c>
      <c r="B112" s="5" t="s">
        <v>551</v>
      </c>
      <c r="C112" s="8" t="s">
        <v>552</v>
      </c>
      <c r="D112" s="8" t="s">
        <v>78</v>
      </c>
      <c r="E112" s="8" t="s">
        <v>148</v>
      </c>
      <c r="F112" s="8" t="s">
        <v>553</v>
      </c>
      <c r="G112" s="10">
        <v>100.0</v>
      </c>
      <c r="H112" s="12"/>
      <c r="I112" s="1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>
        <v>110.0</v>
      </c>
      <c r="B113" s="5" t="s">
        <v>554</v>
      </c>
      <c r="C113" s="8" t="s">
        <v>555</v>
      </c>
      <c r="D113" s="8" t="s">
        <v>35</v>
      </c>
      <c r="E113" s="8" t="s">
        <v>141</v>
      </c>
      <c r="F113" s="8" t="s">
        <v>38</v>
      </c>
      <c r="G113" s="10">
        <v>100.0</v>
      </c>
      <c r="H113" s="12"/>
      <c r="I113" s="1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>
        <v>111.0</v>
      </c>
      <c r="B114" s="5" t="s">
        <v>556</v>
      </c>
      <c r="C114" s="8" t="s">
        <v>557</v>
      </c>
      <c r="D114" s="8" t="s">
        <v>208</v>
      </c>
      <c r="E114" s="8" t="s">
        <v>192</v>
      </c>
      <c r="F114" s="8" t="s">
        <v>558</v>
      </c>
      <c r="G114" s="10">
        <v>100.0</v>
      </c>
      <c r="H114" s="12"/>
      <c r="I114" s="1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>
        <v>112.0</v>
      </c>
      <c r="B115" s="5" t="s">
        <v>559</v>
      </c>
      <c r="C115" s="8" t="s">
        <v>560</v>
      </c>
      <c r="D115" s="8" t="s">
        <v>35</v>
      </c>
      <c r="E115" s="8" t="s">
        <v>141</v>
      </c>
      <c r="F115" s="8" t="s">
        <v>45</v>
      </c>
      <c r="G115" s="10">
        <v>100.0</v>
      </c>
      <c r="H115" s="12"/>
      <c r="I115" s="1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>
        <v>113.0</v>
      </c>
      <c r="B116" s="5" t="s">
        <v>561</v>
      </c>
      <c r="C116" s="8" t="s">
        <v>562</v>
      </c>
      <c r="D116" s="8" t="s">
        <v>35</v>
      </c>
      <c r="E116" s="8" t="s">
        <v>119</v>
      </c>
      <c r="F116" s="8" t="s">
        <v>45</v>
      </c>
      <c r="G116" s="10">
        <v>100.0</v>
      </c>
      <c r="H116" s="12"/>
      <c r="I116" s="1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>
        <v>114.0</v>
      </c>
      <c r="B117" s="5" t="s">
        <v>563</v>
      </c>
      <c r="C117" s="8" t="s">
        <v>564</v>
      </c>
      <c r="D117" s="8" t="s">
        <v>35</v>
      </c>
      <c r="E117" s="8" t="s">
        <v>119</v>
      </c>
      <c r="F117" s="8" t="s">
        <v>45</v>
      </c>
      <c r="G117" s="10">
        <v>100.0</v>
      </c>
      <c r="H117" s="12"/>
      <c r="I117" s="1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>
        <v>115.0</v>
      </c>
      <c r="B118" s="5" t="s">
        <v>567</v>
      </c>
      <c r="C118" s="8" t="s">
        <v>568</v>
      </c>
      <c r="D118" s="8" t="s">
        <v>78</v>
      </c>
      <c r="E118" s="8" t="s">
        <v>293</v>
      </c>
      <c r="F118" s="8" t="s">
        <v>569</v>
      </c>
      <c r="G118" s="10">
        <v>100.0</v>
      </c>
      <c r="H118" s="12"/>
      <c r="I118" s="1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>
        <v>116.0</v>
      </c>
      <c r="B119" s="5" t="s">
        <v>570</v>
      </c>
      <c r="C119" s="8" t="s">
        <v>571</v>
      </c>
      <c r="D119" s="8" t="s">
        <v>78</v>
      </c>
      <c r="E119" s="8" t="s">
        <v>293</v>
      </c>
      <c r="F119" s="8" t="s">
        <v>569</v>
      </c>
      <c r="G119" s="10">
        <v>100.0</v>
      </c>
      <c r="H119" s="12"/>
      <c r="I119" s="1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>
        <v>117.0</v>
      </c>
      <c r="B120" s="5" t="s">
        <v>572</v>
      </c>
      <c r="C120" s="8" t="s">
        <v>573</v>
      </c>
      <c r="D120" s="8" t="s">
        <v>78</v>
      </c>
      <c r="E120" s="8" t="s">
        <v>293</v>
      </c>
      <c r="F120" s="8" t="s">
        <v>574</v>
      </c>
      <c r="G120" s="10">
        <v>100.0</v>
      </c>
      <c r="H120" s="12"/>
      <c r="I120" s="1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>
        <v>118.0</v>
      </c>
      <c r="B121" s="5" t="s">
        <v>575</v>
      </c>
      <c r="C121" s="8" t="s">
        <v>576</v>
      </c>
      <c r="D121" s="8" t="s">
        <v>78</v>
      </c>
      <c r="E121" s="8" t="s">
        <v>293</v>
      </c>
      <c r="F121" s="8" t="s">
        <v>569</v>
      </c>
      <c r="G121" s="10">
        <v>100.0</v>
      </c>
      <c r="H121" s="12"/>
      <c r="I121" s="1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>
        <v>119.0</v>
      </c>
      <c r="B122" s="5" t="s">
        <v>577</v>
      </c>
      <c r="C122" s="8" t="s">
        <v>578</v>
      </c>
      <c r="D122" s="8" t="s">
        <v>78</v>
      </c>
      <c r="E122" s="8" t="s">
        <v>293</v>
      </c>
      <c r="F122" s="8" t="s">
        <v>569</v>
      </c>
      <c r="G122" s="10">
        <v>100.0</v>
      </c>
      <c r="H122" s="12"/>
      <c r="I122" s="1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>
        <v>120.0</v>
      </c>
      <c r="B123" s="5" t="s">
        <v>579</v>
      </c>
      <c r="C123" s="8" t="s">
        <v>580</v>
      </c>
      <c r="D123" s="8" t="s">
        <v>78</v>
      </c>
      <c r="E123" s="8" t="s">
        <v>293</v>
      </c>
      <c r="F123" s="8" t="s">
        <v>569</v>
      </c>
      <c r="G123" s="10">
        <v>100.0</v>
      </c>
      <c r="H123" s="12"/>
      <c r="I123" s="1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>
        <v>121.0</v>
      </c>
      <c r="B124" s="5" t="s">
        <v>581</v>
      </c>
      <c r="C124" s="8" t="s">
        <v>582</v>
      </c>
      <c r="D124" s="8" t="s">
        <v>78</v>
      </c>
      <c r="E124" s="8" t="s">
        <v>293</v>
      </c>
      <c r="F124" s="8" t="s">
        <v>569</v>
      </c>
      <c r="G124" s="10">
        <v>100.0</v>
      </c>
      <c r="H124" s="12"/>
      <c r="I124" s="1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>
        <v>122.0</v>
      </c>
      <c r="B125" s="5" t="s">
        <v>583</v>
      </c>
      <c r="C125" s="8" t="s">
        <v>584</v>
      </c>
      <c r="D125" s="8" t="s">
        <v>78</v>
      </c>
      <c r="E125" s="8" t="s">
        <v>293</v>
      </c>
      <c r="F125" s="8" t="s">
        <v>569</v>
      </c>
      <c r="G125" s="10">
        <v>100.0</v>
      </c>
      <c r="H125" s="12"/>
      <c r="I125" s="1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>
        <v>123.0</v>
      </c>
      <c r="B126" s="5" t="s">
        <v>585</v>
      </c>
      <c r="C126" s="8" t="s">
        <v>586</v>
      </c>
      <c r="D126" s="8" t="s">
        <v>78</v>
      </c>
      <c r="E126" s="8" t="s">
        <v>293</v>
      </c>
      <c r="F126" s="8" t="s">
        <v>569</v>
      </c>
      <c r="G126" s="10">
        <v>100.0</v>
      </c>
      <c r="H126" s="12"/>
      <c r="I126" s="1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>
        <v>124.0</v>
      </c>
      <c r="B127" s="5" t="s">
        <v>587</v>
      </c>
      <c r="C127" s="8" t="s">
        <v>588</v>
      </c>
      <c r="D127" s="8" t="s">
        <v>78</v>
      </c>
      <c r="E127" s="8" t="s">
        <v>293</v>
      </c>
      <c r="F127" s="8" t="s">
        <v>569</v>
      </c>
      <c r="G127" s="10">
        <v>100.0</v>
      </c>
      <c r="H127" s="12"/>
      <c r="I127" s="1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>
        <v>125.0</v>
      </c>
      <c r="B128" s="5" t="s">
        <v>589</v>
      </c>
      <c r="C128" s="8" t="s">
        <v>590</v>
      </c>
      <c r="D128" s="8" t="s">
        <v>78</v>
      </c>
      <c r="E128" s="8" t="s">
        <v>293</v>
      </c>
      <c r="F128" s="8" t="s">
        <v>569</v>
      </c>
      <c r="G128" s="10">
        <v>100.0</v>
      </c>
      <c r="H128" s="12"/>
      <c r="I128" s="1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>
        <v>126.0</v>
      </c>
      <c r="B129" s="5" t="s">
        <v>591</v>
      </c>
      <c r="C129" s="8" t="s">
        <v>592</v>
      </c>
      <c r="D129" s="8" t="s">
        <v>78</v>
      </c>
      <c r="E129" s="8" t="s">
        <v>293</v>
      </c>
      <c r="F129" s="8" t="s">
        <v>569</v>
      </c>
      <c r="G129" s="10">
        <v>100.0</v>
      </c>
      <c r="H129" s="12"/>
      <c r="I129" s="1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>
        <v>127.0</v>
      </c>
      <c r="B130" s="5" t="s">
        <v>595</v>
      </c>
      <c r="C130" s="8" t="s">
        <v>596</v>
      </c>
      <c r="D130" s="8" t="s">
        <v>78</v>
      </c>
      <c r="E130" s="8" t="s">
        <v>293</v>
      </c>
      <c r="F130" s="8" t="s">
        <v>569</v>
      </c>
      <c r="G130" s="10">
        <v>100.0</v>
      </c>
      <c r="H130" s="12"/>
      <c r="I130" s="1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>
        <v>128.0</v>
      </c>
      <c r="B131" s="5" t="s">
        <v>599</v>
      </c>
      <c r="C131" s="8" t="s">
        <v>600</v>
      </c>
      <c r="D131" s="8" t="s">
        <v>78</v>
      </c>
      <c r="E131" s="8" t="s">
        <v>293</v>
      </c>
      <c r="F131" s="8" t="s">
        <v>569</v>
      </c>
      <c r="G131" s="10">
        <v>100.0</v>
      </c>
      <c r="H131" s="12"/>
      <c r="I131" s="1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>
        <v>129.0</v>
      </c>
      <c r="B132" s="5" t="s">
        <v>601</v>
      </c>
      <c r="C132" s="8" t="s">
        <v>602</v>
      </c>
      <c r="D132" s="8" t="s">
        <v>78</v>
      </c>
      <c r="E132" s="8" t="s">
        <v>293</v>
      </c>
      <c r="F132" s="8" t="s">
        <v>569</v>
      </c>
      <c r="G132" s="10">
        <v>100.0</v>
      </c>
      <c r="H132" s="12"/>
      <c r="I132" s="1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>
        <v>130.0</v>
      </c>
      <c r="B133" s="5" t="s">
        <v>603</v>
      </c>
      <c r="C133" s="8" t="s">
        <v>604</v>
      </c>
      <c r="D133" s="8" t="s">
        <v>78</v>
      </c>
      <c r="E133" s="8" t="s">
        <v>293</v>
      </c>
      <c r="F133" s="8" t="s">
        <v>569</v>
      </c>
      <c r="G133" s="10">
        <v>100.0</v>
      </c>
      <c r="H133" s="12"/>
      <c r="I133" s="1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>
        <v>131.0</v>
      </c>
      <c r="B134" s="5" t="s">
        <v>607</v>
      </c>
      <c r="C134" s="8" t="s">
        <v>608</v>
      </c>
      <c r="D134" s="8" t="s">
        <v>78</v>
      </c>
      <c r="E134" s="8" t="s">
        <v>293</v>
      </c>
      <c r="F134" s="8" t="s">
        <v>569</v>
      </c>
      <c r="G134" s="10">
        <v>100.0</v>
      </c>
      <c r="H134" s="12"/>
      <c r="I134" s="1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>
        <v>132.0</v>
      </c>
      <c r="B135" s="5" t="s">
        <v>611</v>
      </c>
      <c r="C135" s="8" t="s">
        <v>612</v>
      </c>
      <c r="D135" s="8" t="s">
        <v>78</v>
      </c>
      <c r="E135" s="8" t="s">
        <v>293</v>
      </c>
      <c r="F135" s="8" t="s">
        <v>615</v>
      </c>
      <c r="G135" s="10">
        <v>100.0</v>
      </c>
      <c r="H135" s="12"/>
      <c r="I135" s="1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>
        <v>133.0</v>
      </c>
      <c r="B136" s="5" t="s">
        <v>616</v>
      </c>
      <c r="C136" s="8" t="s">
        <v>617</v>
      </c>
      <c r="D136" s="8" t="s">
        <v>78</v>
      </c>
      <c r="E136" s="8" t="s">
        <v>293</v>
      </c>
      <c r="F136" s="8" t="s">
        <v>618</v>
      </c>
      <c r="G136" s="10">
        <v>100.0</v>
      </c>
      <c r="H136" s="12"/>
      <c r="I136" s="1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>
        <v>134.0</v>
      </c>
      <c r="B137" s="5" t="s">
        <v>619</v>
      </c>
      <c r="C137" s="8" t="s">
        <v>620</v>
      </c>
      <c r="D137" s="8" t="s">
        <v>78</v>
      </c>
      <c r="E137" s="8" t="s">
        <v>293</v>
      </c>
      <c r="F137" s="8" t="s">
        <v>621</v>
      </c>
      <c r="G137" s="10">
        <v>100.0</v>
      </c>
      <c r="H137" s="12"/>
      <c r="I137" s="1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>
        <v>135.0</v>
      </c>
      <c r="B138" s="5" t="s">
        <v>622</v>
      </c>
      <c r="C138" s="8" t="s">
        <v>623</v>
      </c>
      <c r="D138" s="8" t="s">
        <v>78</v>
      </c>
      <c r="E138" s="8" t="s">
        <v>293</v>
      </c>
      <c r="F138" s="8" t="s">
        <v>624</v>
      </c>
      <c r="G138" s="10">
        <v>100.0</v>
      </c>
      <c r="H138" s="12"/>
      <c r="I138" s="1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>
        <v>136.0</v>
      </c>
      <c r="B139" s="5" t="s">
        <v>625</v>
      </c>
      <c r="C139" s="8" t="s">
        <v>626</v>
      </c>
      <c r="D139" s="8" t="s">
        <v>78</v>
      </c>
      <c r="E139" s="8" t="s">
        <v>293</v>
      </c>
      <c r="F139" s="8" t="s">
        <v>624</v>
      </c>
      <c r="G139" s="10">
        <v>100.0</v>
      </c>
      <c r="H139" s="12"/>
      <c r="I139" s="1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>
        <v>137.0</v>
      </c>
      <c r="B140" s="5" t="s">
        <v>628</v>
      </c>
      <c r="C140" s="8" t="s">
        <v>630</v>
      </c>
      <c r="D140" s="8" t="s">
        <v>78</v>
      </c>
      <c r="E140" s="8" t="s">
        <v>293</v>
      </c>
      <c r="F140" s="8" t="s">
        <v>624</v>
      </c>
      <c r="G140" s="10">
        <v>100.0</v>
      </c>
      <c r="H140" s="12"/>
      <c r="I140" s="1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>
        <v>138.0</v>
      </c>
      <c r="B141" s="5" t="s">
        <v>631</v>
      </c>
      <c r="C141" s="8" t="s">
        <v>632</v>
      </c>
      <c r="D141" s="8" t="s">
        <v>78</v>
      </c>
      <c r="E141" s="8" t="s">
        <v>293</v>
      </c>
      <c r="F141" s="8" t="s">
        <v>624</v>
      </c>
      <c r="G141" s="10">
        <v>100.0</v>
      </c>
      <c r="H141" s="12"/>
      <c r="I141" s="1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>
        <v>139.0</v>
      </c>
      <c r="B142" s="5" t="s">
        <v>633</v>
      </c>
      <c r="C142" s="8" t="s">
        <v>634</v>
      </c>
      <c r="D142" s="8" t="s">
        <v>78</v>
      </c>
      <c r="E142" s="8" t="s">
        <v>293</v>
      </c>
      <c r="F142" s="8" t="s">
        <v>624</v>
      </c>
      <c r="G142" s="10">
        <v>100.0</v>
      </c>
      <c r="H142" s="12"/>
      <c r="I142" s="1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>
        <v>140.0</v>
      </c>
      <c r="B143" s="5" t="s">
        <v>635</v>
      </c>
      <c r="C143" s="8" t="s">
        <v>637</v>
      </c>
      <c r="D143" s="8" t="s">
        <v>78</v>
      </c>
      <c r="E143" s="8" t="s">
        <v>293</v>
      </c>
      <c r="F143" s="8" t="s">
        <v>624</v>
      </c>
      <c r="G143" s="10">
        <v>100.0</v>
      </c>
      <c r="H143" s="12"/>
      <c r="I143" s="1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>
        <v>141.0</v>
      </c>
      <c r="B144" s="5" t="s">
        <v>639</v>
      </c>
      <c r="C144" s="8" t="s">
        <v>641</v>
      </c>
      <c r="D144" s="8" t="s">
        <v>78</v>
      </c>
      <c r="E144" s="8" t="s">
        <v>293</v>
      </c>
      <c r="F144" s="8" t="s">
        <v>643</v>
      </c>
      <c r="G144" s="10">
        <v>100.0</v>
      </c>
      <c r="H144" s="12"/>
      <c r="I144" s="1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>
        <v>142.0</v>
      </c>
      <c r="B145" s="5" t="s">
        <v>645</v>
      </c>
      <c r="C145" s="8" t="s">
        <v>647</v>
      </c>
      <c r="D145" s="8" t="s">
        <v>78</v>
      </c>
      <c r="E145" s="8" t="s">
        <v>293</v>
      </c>
      <c r="F145" s="8" t="s">
        <v>569</v>
      </c>
      <c r="G145" s="10">
        <v>100.0</v>
      </c>
      <c r="H145" s="12"/>
      <c r="I145" s="1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>
        <v>143.0</v>
      </c>
      <c r="B146" s="5" t="s">
        <v>649</v>
      </c>
      <c r="C146" s="8" t="s">
        <v>651</v>
      </c>
      <c r="D146" s="8" t="s">
        <v>35</v>
      </c>
      <c r="E146" s="8" t="s">
        <v>119</v>
      </c>
      <c r="F146" s="8" t="s">
        <v>235</v>
      </c>
      <c r="G146" s="10">
        <v>100.0</v>
      </c>
      <c r="H146" s="12"/>
      <c r="I146" s="1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>
        <v>144.0</v>
      </c>
      <c r="B147" s="5" t="s">
        <v>652</v>
      </c>
      <c r="C147" s="8" t="s">
        <v>653</v>
      </c>
      <c r="D147" s="8" t="s">
        <v>60</v>
      </c>
      <c r="E147" s="8" t="s">
        <v>61</v>
      </c>
      <c r="F147" s="8" t="s">
        <v>150</v>
      </c>
      <c r="G147" s="10">
        <v>100.0</v>
      </c>
      <c r="H147" s="12"/>
      <c r="I147" s="1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>
        <v>145.0</v>
      </c>
      <c r="B148" s="5" t="s">
        <v>654</v>
      </c>
      <c r="C148" s="8" t="s">
        <v>655</v>
      </c>
      <c r="D148" s="8" t="s">
        <v>60</v>
      </c>
      <c r="E148" s="8" t="s">
        <v>61</v>
      </c>
      <c r="F148" s="8" t="s">
        <v>150</v>
      </c>
      <c r="G148" s="10">
        <v>100.0</v>
      </c>
      <c r="H148" s="12"/>
      <c r="I148" s="1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>
        <v>146.0</v>
      </c>
      <c r="B149" s="5" t="s">
        <v>656</v>
      </c>
      <c r="C149" s="8" t="s">
        <v>657</v>
      </c>
      <c r="D149" s="8" t="s">
        <v>60</v>
      </c>
      <c r="E149" s="8" t="s">
        <v>61</v>
      </c>
      <c r="F149" s="8" t="s">
        <v>150</v>
      </c>
      <c r="G149" s="10">
        <v>100.0</v>
      </c>
      <c r="H149" s="12"/>
      <c r="I149" s="1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>
        <v>147.0</v>
      </c>
      <c r="B150" s="5" t="s">
        <v>658</v>
      </c>
      <c r="C150" s="8" t="s">
        <v>659</v>
      </c>
      <c r="D150" s="8" t="s">
        <v>35</v>
      </c>
      <c r="E150" s="8" t="s">
        <v>192</v>
      </c>
      <c r="F150" s="8" t="s">
        <v>38</v>
      </c>
      <c r="G150" s="10">
        <v>100.0</v>
      </c>
      <c r="H150" s="12"/>
      <c r="I150" s="1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>
        <v>148.0</v>
      </c>
      <c r="B151" s="5" t="s">
        <v>660</v>
      </c>
      <c r="C151" s="8" t="s">
        <v>661</v>
      </c>
      <c r="D151" s="8" t="s">
        <v>35</v>
      </c>
      <c r="E151" s="8" t="s">
        <v>192</v>
      </c>
      <c r="F151" s="8" t="s">
        <v>38</v>
      </c>
      <c r="G151" s="10">
        <v>100.0</v>
      </c>
      <c r="H151" s="12"/>
      <c r="I151" s="1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>
        <v>149.0</v>
      </c>
      <c r="B152" s="5" t="s">
        <v>662</v>
      </c>
      <c r="C152" s="8" t="s">
        <v>663</v>
      </c>
      <c r="D152" s="8" t="s">
        <v>35</v>
      </c>
      <c r="E152" s="8" t="s">
        <v>141</v>
      </c>
      <c r="F152" s="8" t="s">
        <v>38</v>
      </c>
      <c r="G152" s="10">
        <v>100.0</v>
      </c>
      <c r="H152" s="12"/>
      <c r="I152" s="1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>
        <v>150.0</v>
      </c>
      <c r="B153" s="5" t="s">
        <v>666</v>
      </c>
      <c r="C153" s="8" t="s">
        <v>667</v>
      </c>
      <c r="D153" s="8" t="s">
        <v>35</v>
      </c>
      <c r="E153" s="8" t="s">
        <v>141</v>
      </c>
      <c r="F153" s="8" t="s">
        <v>525</v>
      </c>
      <c r="G153" s="10">
        <v>100.0</v>
      </c>
      <c r="H153" s="12"/>
      <c r="I153" s="1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>
        <v>151.0</v>
      </c>
      <c r="B154" s="5" t="s">
        <v>670</v>
      </c>
      <c r="C154" s="8" t="s">
        <v>671</v>
      </c>
      <c r="D154" s="8" t="s">
        <v>35</v>
      </c>
      <c r="E154" s="8" t="s">
        <v>192</v>
      </c>
      <c r="F154" s="8" t="s">
        <v>38</v>
      </c>
      <c r="G154" s="10">
        <v>100.0</v>
      </c>
      <c r="H154" s="12"/>
      <c r="I154" s="1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>
        <v>152.0</v>
      </c>
      <c r="B155" s="5" t="s">
        <v>672</v>
      </c>
      <c r="C155" s="8" t="s">
        <v>673</v>
      </c>
      <c r="D155" s="8" t="s">
        <v>35</v>
      </c>
      <c r="E155" s="8" t="s">
        <v>141</v>
      </c>
      <c r="F155" s="8" t="s">
        <v>442</v>
      </c>
      <c r="G155" s="10">
        <v>100.0</v>
      </c>
      <c r="H155" s="12"/>
      <c r="I155" s="1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>
        <v>153.0</v>
      </c>
      <c r="B156" s="5" t="s">
        <v>674</v>
      </c>
      <c r="C156" s="8" t="s">
        <v>675</v>
      </c>
      <c r="D156" s="8" t="s">
        <v>60</v>
      </c>
      <c r="E156" s="8" t="s">
        <v>61</v>
      </c>
      <c r="F156" s="8" t="s">
        <v>676</v>
      </c>
      <c r="G156" s="10">
        <v>100.0</v>
      </c>
      <c r="H156" s="12"/>
      <c r="I156" s="1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>
        <v>154.0</v>
      </c>
      <c r="B157" s="5" t="s">
        <v>679</v>
      </c>
      <c r="C157" s="8" t="s">
        <v>680</v>
      </c>
      <c r="D157" s="8" t="s">
        <v>78</v>
      </c>
      <c r="E157" s="8" t="s">
        <v>79</v>
      </c>
      <c r="F157" s="8" t="s">
        <v>681</v>
      </c>
      <c r="G157" s="10">
        <v>100.0</v>
      </c>
      <c r="H157" s="12"/>
      <c r="I157" s="1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>
        <v>155.0</v>
      </c>
      <c r="B158" s="5" t="s">
        <v>682</v>
      </c>
      <c r="C158" s="8" t="s">
        <v>683</v>
      </c>
      <c r="D158" s="8" t="s">
        <v>78</v>
      </c>
      <c r="E158" s="8" t="s">
        <v>148</v>
      </c>
      <c r="F158" s="8" t="s">
        <v>235</v>
      </c>
      <c r="G158" s="10">
        <v>100.0</v>
      </c>
      <c r="H158" s="12"/>
      <c r="I158" s="1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>
        <v>156.0</v>
      </c>
      <c r="B159" s="5" t="s">
        <v>686</v>
      </c>
      <c r="C159" s="8" t="s">
        <v>687</v>
      </c>
      <c r="D159" s="8" t="s">
        <v>35</v>
      </c>
      <c r="E159" s="8" t="s">
        <v>141</v>
      </c>
      <c r="F159" s="8" t="s">
        <v>688</v>
      </c>
      <c r="G159" s="10">
        <v>100.0</v>
      </c>
      <c r="H159" s="12"/>
      <c r="I159" s="1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>
        <v>157.0</v>
      </c>
      <c r="B160" s="5" t="s">
        <v>691</v>
      </c>
      <c r="C160" s="8" t="s">
        <v>692</v>
      </c>
      <c r="D160" s="8" t="s">
        <v>35</v>
      </c>
      <c r="E160" s="8" t="s">
        <v>119</v>
      </c>
      <c r="F160" s="8" t="s">
        <v>38</v>
      </c>
      <c r="G160" s="10">
        <v>100.0</v>
      </c>
      <c r="H160" s="12"/>
      <c r="I160" s="1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>
        <v>158.0</v>
      </c>
      <c r="B161" s="5" t="s">
        <v>693</v>
      </c>
      <c r="C161" s="8" t="s">
        <v>694</v>
      </c>
      <c r="D161" s="8" t="s">
        <v>35</v>
      </c>
      <c r="E161" s="8" t="s">
        <v>119</v>
      </c>
      <c r="F161" s="8" t="s">
        <v>38</v>
      </c>
      <c r="G161" s="10">
        <v>100.0</v>
      </c>
      <c r="H161" s="12"/>
      <c r="I161" s="1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>
        <v>159.0</v>
      </c>
      <c r="B162" s="5" t="s">
        <v>695</v>
      </c>
      <c r="C162" s="8" t="s">
        <v>696</v>
      </c>
      <c r="D162" s="8" t="s">
        <v>35</v>
      </c>
      <c r="E162" s="8" t="s">
        <v>119</v>
      </c>
      <c r="F162" s="8" t="s">
        <v>38</v>
      </c>
      <c r="G162" s="10">
        <v>100.0</v>
      </c>
      <c r="H162" s="12"/>
      <c r="I162" s="1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>
        <v>160.0</v>
      </c>
      <c r="B163" s="5" t="s">
        <v>699</v>
      </c>
      <c r="C163" s="8" t="s">
        <v>700</v>
      </c>
      <c r="D163" s="8" t="s">
        <v>35</v>
      </c>
      <c r="E163" s="8" t="s">
        <v>119</v>
      </c>
      <c r="F163" s="8" t="s">
        <v>38</v>
      </c>
      <c r="G163" s="10">
        <v>100.0</v>
      </c>
      <c r="H163" s="12"/>
      <c r="I163" s="1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>
        <v>161.0</v>
      </c>
      <c r="B164" s="5" t="s">
        <v>701</v>
      </c>
      <c r="C164" s="8" t="s">
        <v>702</v>
      </c>
      <c r="D164" s="8" t="s">
        <v>35</v>
      </c>
      <c r="E164" s="8" t="s">
        <v>119</v>
      </c>
      <c r="F164" s="8" t="s">
        <v>38</v>
      </c>
      <c r="G164" s="10">
        <v>100.0</v>
      </c>
      <c r="H164" s="12"/>
      <c r="I164" s="1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>
        <v>162.0</v>
      </c>
      <c r="B165" s="5" t="s">
        <v>703</v>
      </c>
      <c r="C165" s="8" t="s">
        <v>704</v>
      </c>
      <c r="D165" s="8" t="s">
        <v>35</v>
      </c>
      <c r="E165" s="8" t="s">
        <v>119</v>
      </c>
      <c r="F165" s="8" t="s">
        <v>38</v>
      </c>
      <c r="G165" s="10">
        <v>100.0</v>
      </c>
      <c r="H165" s="12"/>
      <c r="I165" s="1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>
        <v>163.0</v>
      </c>
      <c r="B166" s="5" t="s">
        <v>705</v>
      </c>
      <c r="C166" s="8" t="s">
        <v>706</v>
      </c>
      <c r="D166" s="8" t="s">
        <v>35</v>
      </c>
      <c r="E166" s="8" t="s">
        <v>119</v>
      </c>
      <c r="F166" s="8" t="s">
        <v>38</v>
      </c>
      <c r="G166" s="10">
        <v>100.0</v>
      </c>
      <c r="H166" s="12"/>
      <c r="I166" s="1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>
        <v>164.0</v>
      </c>
      <c r="B167" s="5" t="s">
        <v>709</v>
      </c>
      <c r="C167" s="8" t="s">
        <v>711</v>
      </c>
      <c r="D167" s="8" t="s">
        <v>35</v>
      </c>
      <c r="E167" s="8" t="s">
        <v>119</v>
      </c>
      <c r="F167" s="8" t="s">
        <v>38</v>
      </c>
      <c r="G167" s="10">
        <v>100.0</v>
      </c>
      <c r="H167" s="12"/>
      <c r="I167" s="1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>
        <v>165.0</v>
      </c>
      <c r="B168" s="5" t="s">
        <v>714</v>
      </c>
      <c r="C168" s="8" t="s">
        <v>716</v>
      </c>
      <c r="D168" s="8" t="s">
        <v>78</v>
      </c>
      <c r="E168" s="8" t="s">
        <v>180</v>
      </c>
      <c r="F168" s="8" t="s">
        <v>150</v>
      </c>
      <c r="G168" s="10">
        <v>100.0</v>
      </c>
      <c r="H168" s="12"/>
      <c r="I168" s="1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>
        <v>166.0</v>
      </c>
      <c r="B169" s="5" t="s">
        <v>717</v>
      </c>
      <c r="C169" s="8" t="s">
        <v>719</v>
      </c>
      <c r="D169" s="8" t="s">
        <v>78</v>
      </c>
      <c r="E169" s="8" t="s">
        <v>180</v>
      </c>
      <c r="F169" s="8" t="s">
        <v>150</v>
      </c>
      <c r="G169" s="10">
        <v>100.0</v>
      </c>
      <c r="H169" s="12"/>
      <c r="I169" s="1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>
        <v>167.0</v>
      </c>
      <c r="B170" s="5" t="s">
        <v>722</v>
      </c>
      <c r="C170" s="8" t="s">
        <v>724</v>
      </c>
      <c r="D170" s="8" t="s">
        <v>725</v>
      </c>
      <c r="E170" s="8" t="s">
        <v>725</v>
      </c>
      <c r="F170" s="8" t="s">
        <v>726</v>
      </c>
      <c r="G170" s="10">
        <v>100.0</v>
      </c>
      <c r="H170" s="12"/>
      <c r="I170" s="1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>
        <v>168.0</v>
      </c>
      <c r="B171" s="5" t="s">
        <v>727</v>
      </c>
      <c r="C171" s="8" t="s">
        <v>728</v>
      </c>
      <c r="D171" s="8" t="s">
        <v>725</v>
      </c>
      <c r="E171" s="8" t="s">
        <v>725</v>
      </c>
      <c r="F171" s="8" t="s">
        <v>726</v>
      </c>
      <c r="G171" s="10">
        <v>100.0</v>
      </c>
      <c r="H171" s="12"/>
      <c r="I171" s="1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>
        <v>169.0</v>
      </c>
      <c r="B172" s="5" t="s">
        <v>729</v>
      </c>
      <c r="C172" s="8" t="s">
        <v>730</v>
      </c>
      <c r="D172" s="8" t="s">
        <v>725</v>
      </c>
      <c r="E172" s="8" t="s">
        <v>725</v>
      </c>
      <c r="F172" s="8" t="s">
        <v>726</v>
      </c>
      <c r="G172" s="10">
        <v>100.0</v>
      </c>
      <c r="H172" s="12"/>
      <c r="I172" s="1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>
        <v>170.0</v>
      </c>
      <c r="B173" s="5" t="s">
        <v>732</v>
      </c>
      <c r="C173" s="8" t="s">
        <v>734</v>
      </c>
      <c r="D173" s="8" t="s">
        <v>725</v>
      </c>
      <c r="E173" s="8" t="s">
        <v>725</v>
      </c>
      <c r="F173" s="8" t="s">
        <v>726</v>
      </c>
      <c r="G173" s="10">
        <v>100.0</v>
      </c>
      <c r="H173" s="12"/>
      <c r="I173" s="1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>
        <v>171.0</v>
      </c>
      <c r="B174" s="5" t="s">
        <v>737</v>
      </c>
      <c r="C174" s="8" t="s">
        <v>738</v>
      </c>
      <c r="D174" s="8" t="s">
        <v>725</v>
      </c>
      <c r="E174" s="8" t="s">
        <v>725</v>
      </c>
      <c r="F174" s="8" t="s">
        <v>726</v>
      </c>
      <c r="G174" s="10">
        <v>100.0</v>
      </c>
      <c r="H174" s="12"/>
      <c r="I174" s="1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>
        <v>172.0</v>
      </c>
      <c r="B175" s="5" t="s">
        <v>739</v>
      </c>
      <c r="C175" s="8" t="s">
        <v>740</v>
      </c>
      <c r="D175" s="8" t="s">
        <v>725</v>
      </c>
      <c r="E175" s="8" t="s">
        <v>725</v>
      </c>
      <c r="F175" s="8" t="s">
        <v>726</v>
      </c>
      <c r="G175" s="10">
        <v>100.0</v>
      </c>
      <c r="H175" s="12"/>
      <c r="I175" s="1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>
        <v>173.0</v>
      </c>
      <c r="B176" s="5" t="s">
        <v>741</v>
      </c>
      <c r="C176" s="8" t="s">
        <v>742</v>
      </c>
      <c r="D176" s="8" t="s">
        <v>725</v>
      </c>
      <c r="E176" s="8" t="s">
        <v>725</v>
      </c>
      <c r="F176" s="8" t="s">
        <v>726</v>
      </c>
      <c r="G176" s="10">
        <v>100.0</v>
      </c>
      <c r="H176" s="12"/>
      <c r="I176" s="1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autoFilter ref="$A$3:$I$176">
    <sortState ref="A3:I176">
      <sortCondition ref="B3:B176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4.63"/>
    <col customWidth="1" min="3" max="3" width="13.75"/>
    <col customWidth="1" min="4" max="4" width="19.75"/>
    <col customWidth="1" min="5" max="5" width="19.13"/>
  </cols>
  <sheetData>
    <row r="1">
      <c r="A1" s="1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20</v>
      </c>
      <c r="G3" s="3" t="s">
        <v>22</v>
      </c>
      <c r="H3" s="3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1.0</v>
      </c>
      <c r="B4" s="5" t="s">
        <v>31</v>
      </c>
      <c r="C4" s="8" t="s">
        <v>32</v>
      </c>
      <c r="D4" s="8" t="s">
        <v>35</v>
      </c>
      <c r="E4" s="8" t="s">
        <v>36</v>
      </c>
      <c r="F4" s="8" t="s">
        <v>38</v>
      </c>
      <c r="G4" s="9">
        <v>250.0</v>
      </c>
      <c r="H4" s="9">
        <v>487.7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2.0</v>
      </c>
      <c r="B5" s="5" t="s">
        <v>47</v>
      </c>
      <c r="C5" s="8" t="s">
        <v>48</v>
      </c>
      <c r="D5" s="8" t="s">
        <v>50</v>
      </c>
      <c r="E5" s="8" t="s">
        <v>51</v>
      </c>
      <c r="F5" s="8" t="s">
        <v>53</v>
      </c>
      <c r="G5" s="9">
        <v>26840.0</v>
      </c>
      <c r="H5" s="9">
        <v>60.0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3.0</v>
      </c>
      <c r="B6" s="5" t="s">
        <v>57</v>
      </c>
      <c r="C6" s="8" t="s">
        <v>58</v>
      </c>
      <c r="D6" s="8" t="s">
        <v>60</v>
      </c>
      <c r="E6" s="8" t="s">
        <v>61</v>
      </c>
      <c r="F6" s="8" t="s">
        <v>53</v>
      </c>
      <c r="G6" s="9">
        <v>2800.0</v>
      </c>
      <c r="H6" s="9">
        <v>109.9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4.0</v>
      </c>
      <c r="B7" s="5" t="s">
        <v>66</v>
      </c>
      <c r="C7" s="8" t="s">
        <v>68</v>
      </c>
      <c r="D7" s="8" t="s">
        <v>50</v>
      </c>
      <c r="E7" s="8" t="s">
        <v>70</v>
      </c>
      <c r="F7" s="8" t="s">
        <v>53</v>
      </c>
      <c r="G7" s="9">
        <v>3120.0</v>
      </c>
      <c r="H7" s="9">
        <v>45.0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5.0</v>
      </c>
      <c r="B8" s="5" t="s">
        <v>74</v>
      </c>
      <c r="C8" s="8" t="s">
        <v>76</v>
      </c>
      <c r="D8" s="8" t="s">
        <v>50</v>
      </c>
      <c r="E8" s="8" t="s">
        <v>70</v>
      </c>
      <c r="F8" s="8" t="s">
        <v>53</v>
      </c>
      <c r="G8" s="9">
        <v>2184.0</v>
      </c>
      <c r="H8" s="9">
        <v>90.0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6.0</v>
      </c>
      <c r="B9" s="5" t="s">
        <v>86</v>
      </c>
      <c r="C9" s="8" t="s">
        <v>88</v>
      </c>
      <c r="D9" s="8" t="s">
        <v>50</v>
      </c>
      <c r="E9" s="8" t="s">
        <v>70</v>
      </c>
      <c r="F9" s="8" t="s">
        <v>53</v>
      </c>
      <c r="G9" s="9">
        <v>1907.0</v>
      </c>
      <c r="H9" s="9">
        <v>54.0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7.0</v>
      </c>
      <c r="B10" s="5" t="s">
        <v>39</v>
      </c>
      <c r="C10" s="8" t="s">
        <v>40</v>
      </c>
      <c r="D10" s="8" t="s">
        <v>41</v>
      </c>
      <c r="E10" s="8" t="s">
        <v>39</v>
      </c>
      <c r="F10" s="8" t="s">
        <v>53</v>
      </c>
      <c r="G10" s="9">
        <v>0.0</v>
      </c>
      <c r="H10" s="9">
        <v>330.0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8.0</v>
      </c>
      <c r="B11" s="5" t="s">
        <v>83</v>
      </c>
      <c r="C11" s="8" t="s">
        <v>85</v>
      </c>
      <c r="D11" s="8" t="s">
        <v>41</v>
      </c>
      <c r="E11" s="8" t="s">
        <v>83</v>
      </c>
      <c r="F11" s="8" t="s">
        <v>53</v>
      </c>
      <c r="G11" s="9">
        <v>3000.0</v>
      </c>
      <c r="H11" s="9">
        <v>205.0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9.0</v>
      </c>
      <c r="B12" s="5" t="s">
        <v>111</v>
      </c>
      <c r="C12" s="8" t="s">
        <v>113</v>
      </c>
      <c r="D12" s="8" t="s">
        <v>60</v>
      </c>
      <c r="E12" s="8" t="s">
        <v>51</v>
      </c>
      <c r="F12" s="8" t="s">
        <v>53</v>
      </c>
      <c r="G12" s="9">
        <v>13260.0</v>
      </c>
      <c r="H12" s="9">
        <v>134.03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10.0</v>
      </c>
      <c r="B13" s="5" t="s">
        <v>124</v>
      </c>
      <c r="C13" s="8" t="s">
        <v>125</v>
      </c>
      <c r="D13" s="8" t="s">
        <v>50</v>
      </c>
      <c r="E13" s="8" t="s">
        <v>51</v>
      </c>
      <c r="F13" s="8" t="s">
        <v>53</v>
      </c>
      <c r="G13" s="9">
        <v>3865.0</v>
      </c>
      <c r="H13" s="9">
        <v>138.0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11.0</v>
      </c>
      <c r="B14" s="5" t="s">
        <v>135</v>
      </c>
      <c r="C14" s="8" t="s">
        <v>136</v>
      </c>
      <c r="D14" s="8" t="s">
        <v>60</v>
      </c>
      <c r="E14" s="8" t="s">
        <v>61</v>
      </c>
      <c r="F14" s="8" t="s">
        <v>53</v>
      </c>
      <c r="G14" s="9">
        <v>50500.0</v>
      </c>
      <c r="H14" s="9">
        <v>18.74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12.0</v>
      </c>
      <c r="B15" s="5" t="s">
        <v>67</v>
      </c>
      <c r="C15" s="8" t="s">
        <v>69</v>
      </c>
      <c r="D15" s="8" t="s">
        <v>50</v>
      </c>
      <c r="E15" s="8" t="s">
        <v>79</v>
      </c>
      <c r="F15" s="8" t="s">
        <v>53</v>
      </c>
      <c r="G15" s="9">
        <v>68.0</v>
      </c>
      <c r="H15" s="9">
        <v>57.61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13.0</v>
      </c>
      <c r="B16" s="5" t="s">
        <v>89</v>
      </c>
      <c r="C16" s="8" t="s">
        <v>90</v>
      </c>
      <c r="D16" s="8" t="s">
        <v>50</v>
      </c>
      <c r="E16" s="8" t="s">
        <v>79</v>
      </c>
      <c r="F16" s="8" t="s">
        <v>53</v>
      </c>
      <c r="G16" s="9">
        <v>783.0</v>
      </c>
      <c r="H16" s="9">
        <v>52.26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14.0</v>
      </c>
      <c r="B17" s="5" t="s">
        <v>95</v>
      </c>
      <c r="C17" s="8" t="s">
        <v>96</v>
      </c>
      <c r="D17" s="8" t="s">
        <v>50</v>
      </c>
      <c r="E17" s="8" t="s">
        <v>79</v>
      </c>
      <c r="F17" s="8" t="s">
        <v>53</v>
      </c>
      <c r="G17" s="9">
        <v>405.0</v>
      </c>
      <c r="H17" s="9">
        <v>104.31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15.0</v>
      </c>
      <c r="B18" s="5" t="s">
        <v>106</v>
      </c>
      <c r="C18" s="8" t="s">
        <v>108</v>
      </c>
      <c r="D18" s="8" t="s">
        <v>60</v>
      </c>
      <c r="E18" s="8" t="s">
        <v>61</v>
      </c>
      <c r="F18" s="8" t="s">
        <v>53</v>
      </c>
      <c r="G18" s="9">
        <v>3700.0</v>
      </c>
      <c r="H18" s="9">
        <v>88.2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16.0</v>
      </c>
      <c r="B19" s="5" t="s">
        <v>169</v>
      </c>
      <c r="C19" s="8" t="s">
        <v>170</v>
      </c>
      <c r="D19" s="8" t="s">
        <v>60</v>
      </c>
      <c r="E19" s="8" t="s">
        <v>61</v>
      </c>
      <c r="F19" s="8" t="s">
        <v>53</v>
      </c>
      <c r="G19" s="9">
        <v>5232.0</v>
      </c>
      <c r="H19" s="9">
        <v>48.35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17.0</v>
      </c>
      <c r="B20" s="5" t="s">
        <v>115</v>
      </c>
      <c r="C20" s="8" t="s">
        <v>116</v>
      </c>
      <c r="D20" s="8" t="s">
        <v>35</v>
      </c>
      <c r="E20" s="8" t="s">
        <v>119</v>
      </c>
      <c r="F20" s="8" t="s">
        <v>38</v>
      </c>
      <c r="G20" s="9">
        <v>36.0</v>
      </c>
      <c r="H20" s="9">
        <v>3675.0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18.0</v>
      </c>
      <c r="B21" s="5" t="s">
        <v>178</v>
      </c>
      <c r="C21" s="8" t="s">
        <v>179</v>
      </c>
      <c r="D21" s="8" t="s">
        <v>50</v>
      </c>
      <c r="E21" s="8" t="s">
        <v>180</v>
      </c>
      <c r="F21" s="8" t="s">
        <v>38</v>
      </c>
      <c r="G21" s="13"/>
      <c r="H21" s="9">
        <v>7200.0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19.0</v>
      </c>
      <c r="B22" s="5" t="s">
        <v>126</v>
      </c>
      <c r="C22" s="8" t="s">
        <v>128</v>
      </c>
      <c r="D22" s="8" t="s">
        <v>60</v>
      </c>
      <c r="E22" s="8" t="s">
        <v>61</v>
      </c>
      <c r="F22" s="8" t="s">
        <v>53</v>
      </c>
      <c r="G22" s="9">
        <v>1400.0</v>
      </c>
      <c r="H22" s="9">
        <v>216.62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20.0</v>
      </c>
      <c r="B23" s="5" t="s">
        <v>190</v>
      </c>
      <c r="C23" s="8" t="s">
        <v>191</v>
      </c>
      <c r="D23" s="8" t="s">
        <v>50</v>
      </c>
      <c r="E23" s="8" t="s">
        <v>70</v>
      </c>
      <c r="F23" s="8" t="s">
        <v>53</v>
      </c>
      <c r="G23" s="9">
        <v>5740.0</v>
      </c>
      <c r="H23" s="9">
        <v>40.0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>
        <v>21.0</v>
      </c>
      <c r="B24" s="5" t="s">
        <v>196</v>
      </c>
      <c r="C24" s="8" t="s">
        <v>198</v>
      </c>
      <c r="D24" s="8" t="s">
        <v>50</v>
      </c>
      <c r="E24" s="8" t="s">
        <v>70</v>
      </c>
      <c r="F24" s="8" t="s">
        <v>53</v>
      </c>
      <c r="G24" s="9">
        <v>3559.0</v>
      </c>
      <c r="H24" s="9">
        <v>70.0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22.0</v>
      </c>
      <c r="B25" s="5" t="s">
        <v>201</v>
      </c>
      <c r="C25" s="8" t="s">
        <v>203</v>
      </c>
      <c r="D25" s="8" t="s">
        <v>50</v>
      </c>
      <c r="E25" s="8" t="s">
        <v>70</v>
      </c>
      <c r="F25" s="8" t="s">
        <v>53</v>
      </c>
      <c r="G25" s="9">
        <v>340.0</v>
      </c>
      <c r="H25" s="9">
        <v>60.0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>
        <v>23.0</v>
      </c>
      <c r="B26" s="5" t="s">
        <v>139</v>
      </c>
      <c r="C26" s="8" t="s">
        <v>140</v>
      </c>
      <c r="D26" s="8" t="s">
        <v>208</v>
      </c>
      <c r="E26" s="8" t="s">
        <v>192</v>
      </c>
      <c r="F26" s="8" t="s">
        <v>45</v>
      </c>
      <c r="G26" s="9">
        <v>4.0</v>
      </c>
      <c r="H26" s="9">
        <v>8388.38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>
        <v>24.0</v>
      </c>
      <c r="B27" s="5" t="s">
        <v>211</v>
      </c>
      <c r="C27" s="8" t="s">
        <v>213</v>
      </c>
      <c r="D27" s="8" t="s">
        <v>50</v>
      </c>
      <c r="E27" s="8" t="s">
        <v>180</v>
      </c>
      <c r="F27" s="8" t="s">
        <v>53</v>
      </c>
      <c r="G27" s="9">
        <v>5215.0</v>
      </c>
      <c r="H27" s="9">
        <v>144.12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>
        <v>25.0</v>
      </c>
      <c r="B28" s="5" t="s">
        <v>218</v>
      </c>
      <c r="C28" s="8" t="s">
        <v>219</v>
      </c>
      <c r="D28" s="8" t="s">
        <v>50</v>
      </c>
      <c r="E28" s="8" t="s">
        <v>148</v>
      </c>
      <c r="F28" s="8" t="s">
        <v>222</v>
      </c>
      <c r="G28" s="9">
        <v>113.0</v>
      </c>
      <c r="H28" s="9">
        <v>2061.0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>
        <v>26.0</v>
      </c>
      <c r="B29" s="5" t="s">
        <v>146</v>
      </c>
      <c r="C29" s="8" t="s">
        <v>147</v>
      </c>
      <c r="D29" s="8" t="s">
        <v>50</v>
      </c>
      <c r="E29" s="8" t="s">
        <v>148</v>
      </c>
      <c r="F29" s="8" t="s">
        <v>53</v>
      </c>
      <c r="G29" s="9">
        <v>2890.0</v>
      </c>
      <c r="H29" s="9">
        <v>24.15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>
        <v>27.0</v>
      </c>
      <c r="B30" s="5" t="s">
        <v>154</v>
      </c>
      <c r="C30" s="8" t="s">
        <v>155</v>
      </c>
      <c r="D30" s="8" t="s">
        <v>60</v>
      </c>
      <c r="E30" s="8" t="s">
        <v>61</v>
      </c>
      <c r="F30" s="8" t="s">
        <v>53</v>
      </c>
      <c r="G30" s="9">
        <v>3510.0</v>
      </c>
      <c r="H30" s="9">
        <v>138.2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28.0</v>
      </c>
      <c r="B31" s="5" t="s">
        <v>159</v>
      </c>
      <c r="C31" s="8" t="s">
        <v>160</v>
      </c>
      <c r="D31" s="8" t="s">
        <v>50</v>
      </c>
      <c r="E31" s="8" t="s">
        <v>148</v>
      </c>
      <c r="F31" s="8" t="s">
        <v>53</v>
      </c>
      <c r="G31" s="9">
        <v>56078.0</v>
      </c>
      <c r="H31" s="9">
        <v>91.6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>
        <v>29.0</v>
      </c>
      <c r="B32" s="5" t="s">
        <v>164</v>
      </c>
      <c r="C32" s="8" t="s">
        <v>166</v>
      </c>
      <c r="D32" s="8" t="s">
        <v>35</v>
      </c>
      <c r="E32" s="8" t="s">
        <v>119</v>
      </c>
      <c r="F32" s="8" t="s">
        <v>38</v>
      </c>
      <c r="G32" s="9">
        <v>199.0</v>
      </c>
      <c r="H32" s="9">
        <v>525.0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30.0</v>
      </c>
      <c r="B33" s="5" t="s">
        <v>171</v>
      </c>
      <c r="C33" s="8" t="s">
        <v>172</v>
      </c>
      <c r="D33" s="8" t="s">
        <v>35</v>
      </c>
      <c r="E33" s="8" t="s">
        <v>119</v>
      </c>
      <c r="F33" s="8" t="s">
        <v>38</v>
      </c>
      <c r="G33" s="9">
        <v>82.0</v>
      </c>
      <c r="H33" s="9">
        <v>853.55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>
        <v>31.0</v>
      </c>
      <c r="B34" s="5" t="s">
        <v>175</v>
      </c>
      <c r="C34" s="8" t="s">
        <v>176</v>
      </c>
      <c r="D34" s="8" t="s">
        <v>35</v>
      </c>
      <c r="E34" s="8" t="s">
        <v>119</v>
      </c>
      <c r="F34" s="8" t="s">
        <v>38</v>
      </c>
      <c r="G34" s="9">
        <v>149.0</v>
      </c>
      <c r="H34" s="9">
        <v>1300.0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32.0</v>
      </c>
      <c r="B35" s="5" t="s">
        <v>181</v>
      </c>
      <c r="C35" s="8" t="s">
        <v>182</v>
      </c>
      <c r="D35" s="8" t="s">
        <v>35</v>
      </c>
      <c r="E35" s="8" t="s">
        <v>119</v>
      </c>
      <c r="F35" s="8" t="s">
        <v>38</v>
      </c>
      <c r="G35" s="9">
        <v>171.0</v>
      </c>
      <c r="H35" s="9">
        <v>1430.0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>
        <v>33.0</v>
      </c>
      <c r="B36" s="5" t="s">
        <v>185</v>
      </c>
      <c r="C36" s="8" t="s">
        <v>186</v>
      </c>
      <c r="D36" s="8" t="s">
        <v>35</v>
      </c>
      <c r="E36" s="8" t="s">
        <v>119</v>
      </c>
      <c r="F36" s="8" t="s">
        <v>38</v>
      </c>
      <c r="G36" s="9">
        <v>57.0</v>
      </c>
      <c r="H36" s="9">
        <v>687.22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34.0</v>
      </c>
      <c r="B37" s="5" t="s">
        <v>188</v>
      </c>
      <c r="C37" s="8" t="s">
        <v>189</v>
      </c>
      <c r="D37" s="8" t="s">
        <v>35</v>
      </c>
      <c r="E37" s="8" t="s">
        <v>192</v>
      </c>
      <c r="F37" s="8" t="s">
        <v>38</v>
      </c>
      <c r="G37" s="9">
        <v>103.0</v>
      </c>
      <c r="H37" s="9">
        <v>383.67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35.0</v>
      </c>
      <c r="B38" s="5" t="s">
        <v>195</v>
      </c>
      <c r="C38" s="8" t="s">
        <v>197</v>
      </c>
      <c r="D38" s="8" t="s">
        <v>35</v>
      </c>
      <c r="E38" s="8" t="s">
        <v>192</v>
      </c>
      <c r="F38" s="8" t="s">
        <v>38</v>
      </c>
      <c r="G38" s="9">
        <v>150.0</v>
      </c>
      <c r="H38" s="9">
        <v>191.8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36.0</v>
      </c>
      <c r="B39" s="5" t="s">
        <v>200</v>
      </c>
      <c r="C39" s="8" t="s">
        <v>202</v>
      </c>
      <c r="D39" s="8" t="s">
        <v>35</v>
      </c>
      <c r="E39" s="8" t="s">
        <v>36</v>
      </c>
      <c r="F39" s="8" t="s">
        <v>38</v>
      </c>
      <c r="G39" s="9">
        <v>50.0</v>
      </c>
      <c r="H39" s="9">
        <v>248.9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>
        <v>37.0</v>
      </c>
      <c r="B40" s="5" t="s">
        <v>264</v>
      </c>
      <c r="C40" s="8" t="s">
        <v>265</v>
      </c>
      <c r="D40" s="8" t="s">
        <v>35</v>
      </c>
      <c r="E40" s="8" t="s">
        <v>36</v>
      </c>
      <c r="F40" s="8" t="s">
        <v>38</v>
      </c>
      <c r="G40" s="9">
        <v>100.0</v>
      </c>
      <c r="H40" s="9">
        <v>276.9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>
        <v>38.0</v>
      </c>
      <c r="B41" s="5" t="s">
        <v>206</v>
      </c>
      <c r="C41" s="8" t="s">
        <v>207</v>
      </c>
      <c r="D41" s="8" t="s">
        <v>208</v>
      </c>
      <c r="E41" s="8" t="s">
        <v>192</v>
      </c>
      <c r="F41" s="8" t="s">
        <v>209</v>
      </c>
      <c r="G41" s="9">
        <v>3.0</v>
      </c>
      <c r="H41" s="9">
        <v>64050.0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>
        <v>235.0</v>
      </c>
      <c r="B42" s="5" t="s">
        <v>212</v>
      </c>
      <c r="C42" s="8" t="s">
        <v>214</v>
      </c>
      <c r="D42" s="8" t="s">
        <v>35</v>
      </c>
      <c r="E42" s="8" t="s">
        <v>141</v>
      </c>
      <c r="F42" s="8" t="s">
        <v>216</v>
      </c>
      <c r="G42" s="9">
        <v>0.0</v>
      </c>
      <c r="H42" s="9">
        <v>29000.0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39.0</v>
      </c>
      <c r="B43" s="5" t="s">
        <v>277</v>
      </c>
      <c r="C43" s="8" t="s">
        <v>279</v>
      </c>
      <c r="D43" s="8" t="s">
        <v>50</v>
      </c>
      <c r="E43" s="8" t="s">
        <v>70</v>
      </c>
      <c r="F43" s="8" t="s">
        <v>53</v>
      </c>
      <c r="G43" s="9">
        <v>154.0</v>
      </c>
      <c r="H43" s="9">
        <v>51.0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>
        <v>40.0</v>
      </c>
      <c r="B44" s="5" t="s">
        <v>283</v>
      </c>
      <c r="C44" s="8" t="s">
        <v>284</v>
      </c>
      <c r="D44" s="8" t="s">
        <v>50</v>
      </c>
      <c r="E44" s="8" t="s">
        <v>180</v>
      </c>
      <c r="F44" s="8" t="s">
        <v>38</v>
      </c>
      <c r="G44" s="9">
        <v>1584.0</v>
      </c>
      <c r="H44" s="9">
        <v>2000.0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41.0</v>
      </c>
      <c r="B45" s="5" t="s">
        <v>288</v>
      </c>
      <c r="C45" s="8" t="s">
        <v>290</v>
      </c>
      <c r="D45" s="8" t="s">
        <v>50</v>
      </c>
      <c r="E45" s="8" t="s">
        <v>180</v>
      </c>
      <c r="F45" s="8" t="s">
        <v>38</v>
      </c>
      <c r="G45" s="9">
        <v>173.0</v>
      </c>
      <c r="H45" s="9">
        <v>2400.0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>
        <v>42.0</v>
      </c>
      <c r="B46" s="5" t="s">
        <v>220</v>
      </c>
      <c r="C46" s="8" t="s">
        <v>221</v>
      </c>
      <c r="D46" s="8" t="s">
        <v>50</v>
      </c>
      <c r="E46" s="8" t="s">
        <v>79</v>
      </c>
      <c r="F46" s="8" t="s">
        <v>53</v>
      </c>
      <c r="G46" s="9">
        <v>445.0</v>
      </c>
      <c r="H46" s="9">
        <v>636.0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>
        <v>43.0</v>
      </c>
      <c r="B47" s="5" t="s">
        <v>225</v>
      </c>
      <c r="C47" s="8" t="s">
        <v>226</v>
      </c>
      <c r="D47" s="8" t="s">
        <v>50</v>
      </c>
      <c r="E47" s="8" t="s">
        <v>79</v>
      </c>
      <c r="F47" s="8" t="s">
        <v>53</v>
      </c>
      <c r="G47" s="9">
        <v>199.0</v>
      </c>
      <c r="H47" s="9">
        <v>573.0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>
        <v>44.0</v>
      </c>
      <c r="B48" s="5" t="s">
        <v>229</v>
      </c>
      <c r="C48" s="8" t="s">
        <v>230</v>
      </c>
      <c r="D48" s="8" t="s">
        <v>50</v>
      </c>
      <c r="E48" s="8" t="s">
        <v>79</v>
      </c>
      <c r="F48" s="8" t="s">
        <v>53</v>
      </c>
      <c r="G48" s="9">
        <v>395.0</v>
      </c>
      <c r="H48" s="9">
        <v>342.0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>
        <v>45.0</v>
      </c>
      <c r="B49" s="5" t="s">
        <v>232</v>
      </c>
      <c r="C49" s="8" t="s">
        <v>233</v>
      </c>
      <c r="D49" s="8" t="s">
        <v>50</v>
      </c>
      <c r="E49" s="8" t="s">
        <v>79</v>
      </c>
      <c r="F49" s="8" t="s">
        <v>53</v>
      </c>
      <c r="G49" s="9">
        <v>911.0</v>
      </c>
      <c r="H49" s="9">
        <v>425.25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>
        <v>46.0</v>
      </c>
      <c r="B50" s="5" t="s">
        <v>130</v>
      </c>
      <c r="C50" s="8" t="s">
        <v>132</v>
      </c>
      <c r="D50" s="8" t="s">
        <v>133</v>
      </c>
      <c r="E50" s="8" t="s">
        <v>134</v>
      </c>
      <c r="F50" s="8" t="s">
        <v>53</v>
      </c>
      <c r="G50" s="9">
        <v>29693.0</v>
      </c>
      <c r="H50" s="9">
        <v>95.0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>
        <v>47.0</v>
      </c>
      <c r="B51" s="5" t="s">
        <v>143</v>
      </c>
      <c r="C51" s="8" t="s">
        <v>145</v>
      </c>
      <c r="D51" s="8" t="s">
        <v>133</v>
      </c>
      <c r="E51" s="8" t="s">
        <v>134</v>
      </c>
      <c r="F51" s="8" t="s">
        <v>53</v>
      </c>
      <c r="G51" s="9">
        <v>14389.0</v>
      </c>
      <c r="H51" s="9">
        <v>60.0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>
        <v>48.0</v>
      </c>
      <c r="B52" s="5" t="s">
        <v>237</v>
      </c>
      <c r="C52" s="8" t="s">
        <v>238</v>
      </c>
      <c r="D52" s="8" t="s">
        <v>50</v>
      </c>
      <c r="E52" s="8" t="s">
        <v>148</v>
      </c>
      <c r="F52" s="8" t="s">
        <v>53</v>
      </c>
      <c r="G52" s="9">
        <v>8258.0</v>
      </c>
      <c r="H52" s="9">
        <v>47.37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>
        <v>49.0</v>
      </c>
      <c r="B53" s="5" t="s">
        <v>325</v>
      </c>
      <c r="C53" s="8" t="s">
        <v>327</v>
      </c>
      <c r="D53" s="8" t="s">
        <v>50</v>
      </c>
      <c r="E53" s="8" t="s">
        <v>180</v>
      </c>
      <c r="F53" s="8" t="s">
        <v>53</v>
      </c>
      <c r="G53" s="9">
        <v>31350.0</v>
      </c>
      <c r="H53" s="9">
        <v>51.83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>
        <v>50.0</v>
      </c>
      <c r="B54" s="5" t="s">
        <v>330</v>
      </c>
      <c r="C54" s="8" t="s">
        <v>332</v>
      </c>
      <c r="D54" s="8" t="s">
        <v>50</v>
      </c>
      <c r="E54" s="8" t="s">
        <v>180</v>
      </c>
      <c r="F54" s="8" t="s">
        <v>53</v>
      </c>
      <c r="G54" s="9">
        <v>72320.0</v>
      </c>
      <c r="H54" s="9">
        <v>20.53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>
        <v>51.0</v>
      </c>
      <c r="B55" s="5" t="s">
        <v>244</v>
      </c>
      <c r="C55" s="8" t="s">
        <v>245</v>
      </c>
      <c r="D55" s="8" t="s">
        <v>50</v>
      </c>
      <c r="E55" s="8" t="s">
        <v>180</v>
      </c>
      <c r="F55" s="8" t="s">
        <v>53</v>
      </c>
      <c r="G55" s="9">
        <v>312.0</v>
      </c>
      <c r="H55" s="9">
        <v>20.8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>
        <v>52.0</v>
      </c>
      <c r="B56" s="5" t="s">
        <v>339</v>
      </c>
      <c r="C56" s="8" t="s">
        <v>340</v>
      </c>
      <c r="D56" s="8" t="s">
        <v>60</v>
      </c>
      <c r="E56" s="8" t="s">
        <v>61</v>
      </c>
      <c r="F56" s="8" t="s">
        <v>53</v>
      </c>
      <c r="G56" s="9">
        <v>702.0</v>
      </c>
      <c r="H56" s="9">
        <v>19.29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>
        <v>53.0</v>
      </c>
      <c r="B57" s="5" t="s">
        <v>251</v>
      </c>
      <c r="C57" s="8" t="s">
        <v>252</v>
      </c>
      <c r="D57" s="8" t="s">
        <v>50</v>
      </c>
      <c r="E57" s="8" t="s">
        <v>148</v>
      </c>
      <c r="F57" s="8" t="s">
        <v>53</v>
      </c>
      <c r="G57" s="9">
        <v>701.0</v>
      </c>
      <c r="H57" s="9">
        <v>50.4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>
        <v>54.0</v>
      </c>
      <c r="B58" s="5" t="s">
        <v>255</v>
      </c>
      <c r="C58" s="8" t="s">
        <v>256</v>
      </c>
      <c r="D58" s="8" t="s">
        <v>50</v>
      </c>
      <c r="E58" s="8" t="s">
        <v>148</v>
      </c>
      <c r="F58" s="8" t="s">
        <v>53</v>
      </c>
      <c r="G58" s="9">
        <v>2907.0</v>
      </c>
      <c r="H58" s="9">
        <v>57.75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>
        <v>55.0</v>
      </c>
      <c r="B59" s="5" t="s">
        <v>353</v>
      </c>
      <c r="C59" s="8" t="s">
        <v>354</v>
      </c>
      <c r="D59" s="8" t="s">
        <v>50</v>
      </c>
      <c r="E59" s="8" t="s">
        <v>148</v>
      </c>
      <c r="F59" s="8" t="s">
        <v>53</v>
      </c>
      <c r="G59" s="13"/>
      <c r="H59" s="9">
        <v>0.0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>
        <v>56.0</v>
      </c>
      <c r="B60" s="5" t="s">
        <v>258</v>
      </c>
      <c r="C60" s="8" t="s">
        <v>259</v>
      </c>
      <c r="D60" s="8" t="s">
        <v>50</v>
      </c>
      <c r="E60" s="8" t="s">
        <v>148</v>
      </c>
      <c r="F60" s="8" t="s">
        <v>53</v>
      </c>
      <c r="G60" s="9">
        <v>1790.0</v>
      </c>
      <c r="H60" s="9">
        <v>57.75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57.0</v>
      </c>
      <c r="B61" s="5" t="s">
        <v>262</v>
      </c>
      <c r="C61" s="8" t="s">
        <v>263</v>
      </c>
      <c r="D61" s="8" t="s">
        <v>50</v>
      </c>
      <c r="E61" s="8" t="s">
        <v>148</v>
      </c>
      <c r="F61" s="8" t="s">
        <v>53</v>
      </c>
      <c r="G61" s="9">
        <v>1784.0</v>
      </c>
      <c r="H61" s="9">
        <v>50.4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v>58.0</v>
      </c>
      <c r="B62" s="5" t="s">
        <v>267</v>
      </c>
      <c r="C62" s="8" t="s">
        <v>268</v>
      </c>
      <c r="D62" s="8" t="s">
        <v>50</v>
      </c>
      <c r="E62" s="8" t="s">
        <v>148</v>
      </c>
      <c r="F62" s="8" t="s">
        <v>53</v>
      </c>
      <c r="G62" s="9">
        <v>468.0</v>
      </c>
      <c r="H62" s="9">
        <v>47.25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>
        <v>59.0</v>
      </c>
      <c r="B63" s="5" t="s">
        <v>369</v>
      </c>
      <c r="C63" s="8" t="s">
        <v>371</v>
      </c>
      <c r="D63" s="8" t="s">
        <v>50</v>
      </c>
      <c r="E63" s="8" t="s">
        <v>51</v>
      </c>
      <c r="F63" s="8" t="s">
        <v>53</v>
      </c>
      <c r="G63" s="9">
        <v>1000.0</v>
      </c>
      <c r="H63" s="9">
        <v>140.0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>
        <v>60.0</v>
      </c>
      <c r="B64" s="5" t="s">
        <v>270</v>
      </c>
      <c r="C64" s="8" t="s">
        <v>271</v>
      </c>
      <c r="D64" s="8" t="s">
        <v>50</v>
      </c>
      <c r="E64" s="8" t="s">
        <v>148</v>
      </c>
      <c r="F64" s="8" t="s">
        <v>53</v>
      </c>
      <c r="G64" s="9">
        <v>12331.0</v>
      </c>
      <c r="H64" s="9">
        <v>30.69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>
        <v>61.0</v>
      </c>
      <c r="B65" s="5" t="s">
        <v>275</v>
      </c>
      <c r="C65" s="8" t="s">
        <v>276</v>
      </c>
      <c r="D65" s="8" t="s">
        <v>50</v>
      </c>
      <c r="E65" s="8" t="s">
        <v>148</v>
      </c>
      <c r="F65" s="8" t="s">
        <v>53</v>
      </c>
      <c r="G65" s="9">
        <v>658.0</v>
      </c>
      <c r="H65" s="9">
        <v>25.04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>
        <v>62.0</v>
      </c>
      <c r="B66" s="5" t="s">
        <v>280</v>
      </c>
      <c r="C66" s="8" t="s">
        <v>281</v>
      </c>
      <c r="D66" s="8" t="s">
        <v>50</v>
      </c>
      <c r="E66" s="8" t="s">
        <v>148</v>
      </c>
      <c r="F66" s="8" t="s">
        <v>53</v>
      </c>
      <c r="G66" s="9">
        <v>463.0</v>
      </c>
      <c r="H66" s="9">
        <v>26.65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>
        <v>63.0</v>
      </c>
      <c r="B67" s="5" t="s">
        <v>286</v>
      </c>
      <c r="C67" s="8" t="s">
        <v>287</v>
      </c>
      <c r="D67" s="8" t="s">
        <v>60</v>
      </c>
      <c r="E67" s="8" t="s">
        <v>61</v>
      </c>
      <c r="F67" s="8" t="s">
        <v>53</v>
      </c>
      <c r="G67" s="9">
        <v>6363.0</v>
      </c>
      <c r="H67" s="9">
        <v>22.63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>
        <v>64.0</v>
      </c>
      <c r="B68" s="5" t="s">
        <v>291</v>
      </c>
      <c r="C68" s="8" t="s">
        <v>292</v>
      </c>
      <c r="D68" s="8" t="s">
        <v>50</v>
      </c>
      <c r="E68" s="8" t="s">
        <v>293</v>
      </c>
      <c r="F68" s="8" t="s">
        <v>53</v>
      </c>
      <c r="G68" s="9">
        <v>377.0</v>
      </c>
      <c r="H68" s="9">
        <v>19.3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>
        <v>65.0</v>
      </c>
      <c r="B69" s="5" t="s">
        <v>296</v>
      </c>
      <c r="C69" s="8" t="s">
        <v>297</v>
      </c>
      <c r="D69" s="8" t="s">
        <v>35</v>
      </c>
      <c r="E69" s="8" t="s">
        <v>192</v>
      </c>
      <c r="F69" s="8" t="s">
        <v>38</v>
      </c>
      <c r="G69" s="9">
        <v>15.0</v>
      </c>
      <c r="H69" s="9">
        <v>7500.0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>
        <v>66.0</v>
      </c>
      <c r="B70" s="5" t="s">
        <v>300</v>
      </c>
      <c r="C70" s="8" t="s">
        <v>301</v>
      </c>
      <c r="D70" s="8" t="s">
        <v>208</v>
      </c>
      <c r="E70" s="8" t="s">
        <v>192</v>
      </c>
      <c r="F70" s="8" t="s">
        <v>302</v>
      </c>
      <c r="G70" s="9">
        <v>1.0</v>
      </c>
      <c r="H70" s="9">
        <v>55500.0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>
        <v>67.0</v>
      </c>
      <c r="B71" s="5" t="s">
        <v>305</v>
      </c>
      <c r="C71" s="8" t="s">
        <v>306</v>
      </c>
      <c r="D71" s="8" t="s">
        <v>50</v>
      </c>
      <c r="E71" s="8" t="s">
        <v>180</v>
      </c>
      <c r="F71" s="8" t="s">
        <v>53</v>
      </c>
      <c r="G71" s="9">
        <v>29899.0</v>
      </c>
      <c r="H71" s="9">
        <v>44.1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>
        <v>68.0</v>
      </c>
      <c r="B72" s="5" t="s">
        <v>309</v>
      </c>
      <c r="C72" s="8" t="s">
        <v>310</v>
      </c>
      <c r="D72" s="8" t="s">
        <v>50</v>
      </c>
      <c r="E72" s="8" t="s">
        <v>180</v>
      </c>
      <c r="F72" s="8" t="s">
        <v>53</v>
      </c>
      <c r="G72" s="9">
        <v>1118.0</v>
      </c>
      <c r="H72" s="9">
        <v>57.14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>
        <v>69.0</v>
      </c>
      <c r="B73" s="5" t="s">
        <v>407</v>
      </c>
      <c r="C73" s="8" t="s">
        <v>408</v>
      </c>
      <c r="D73" s="8" t="s">
        <v>60</v>
      </c>
      <c r="E73" s="8" t="s">
        <v>61</v>
      </c>
      <c r="F73" s="8" t="s">
        <v>53</v>
      </c>
      <c r="G73" s="9">
        <v>130.0</v>
      </c>
      <c r="H73" s="9">
        <v>35.0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>
        <v>70.0</v>
      </c>
      <c r="B74" s="5" t="s">
        <v>314</v>
      </c>
      <c r="C74" s="8" t="s">
        <v>315</v>
      </c>
      <c r="D74" s="8" t="s">
        <v>50</v>
      </c>
      <c r="E74" s="8" t="s">
        <v>148</v>
      </c>
      <c r="F74" s="8" t="s">
        <v>53</v>
      </c>
      <c r="G74" s="9">
        <v>692.0</v>
      </c>
      <c r="H74" s="9">
        <v>166.0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>
        <v>71.0</v>
      </c>
      <c r="B75" s="5" t="s">
        <v>414</v>
      </c>
      <c r="C75" s="8" t="s">
        <v>416</v>
      </c>
      <c r="D75" s="8" t="s">
        <v>50</v>
      </c>
      <c r="E75" s="8" t="s">
        <v>70</v>
      </c>
      <c r="F75" s="8" t="s">
        <v>53</v>
      </c>
      <c r="G75" s="9">
        <v>2260.0</v>
      </c>
      <c r="H75" s="9">
        <v>55.0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>
        <v>72.0</v>
      </c>
      <c r="B76" s="5" t="s">
        <v>318</v>
      </c>
      <c r="C76" s="8" t="s">
        <v>319</v>
      </c>
      <c r="D76" s="8" t="s">
        <v>50</v>
      </c>
      <c r="E76" s="8" t="s">
        <v>321</v>
      </c>
      <c r="F76" s="8" t="s">
        <v>53</v>
      </c>
      <c r="G76" s="9">
        <v>338.0</v>
      </c>
      <c r="H76" s="9">
        <v>36.47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>
        <v>73.0</v>
      </c>
      <c r="B77" s="5" t="s">
        <v>423</v>
      </c>
      <c r="C77" s="8" t="s">
        <v>425</v>
      </c>
      <c r="D77" s="8" t="s">
        <v>50</v>
      </c>
      <c r="E77" s="8" t="s">
        <v>321</v>
      </c>
      <c r="F77" s="8" t="s">
        <v>53</v>
      </c>
      <c r="G77" s="13"/>
      <c r="H77" s="9">
        <v>0.0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>
        <v>74.0</v>
      </c>
      <c r="B78" s="5" t="s">
        <v>427</v>
      </c>
      <c r="C78" s="8" t="s">
        <v>429</v>
      </c>
      <c r="D78" s="8" t="s">
        <v>50</v>
      </c>
      <c r="E78" s="8" t="s">
        <v>321</v>
      </c>
      <c r="F78" s="8" t="s">
        <v>53</v>
      </c>
      <c r="G78" s="9">
        <v>591.0</v>
      </c>
      <c r="H78" s="9">
        <v>39.26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>
        <v>75.0</v>
      </c>
      <c r="B79" s="5" t="s">
        <v>432</v>
      </c>
      <c r="C79" s="8" t="s">
        <v>433</v>
      </c>
      <c r="D79" s="8" t="s">
        <v>50</v>
      </c>
      <c r="E79" s="8" t="s">
        <v>321</v>
      </c>
      <c r="F79" s="8" t="s">
        <v>53</v>
      </c>
      <c r="G79" s="13"/>
      <c r="H79" s="9">
        <v>0.0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>
        <v>76.0</v>
      </c>
      <c r="B80" s="5" t="s">
        <v>436</v>
      </c>
      <c r="C80" s="8" t="s">
        <v>437</v>
      </c>
      <c r="D80" s="8" t="s">
        <v>50</v>
      </c>
      <c r="E80" s="8" t="s">
        <v>321</v>
      </c>
      <c r="F80" s="8" t="s">
        <v>53</v>
      </c>
      <c r="G80" s="9">
        <v>319.0</v>
      </c>
      <c r="H80" s="9">
        <v>39.98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>
        <v>77.0</v>
      </c>
      <c r="B81" s="5" t="s">
        <v>440</v>
      </c>
      <c r="C81" s="8" t="s">
        <v>441</v>
      </c>
      <c r="D81" s="8" t="s">
        <v>50</v>
      </c>
      <c r="E81" s="8" t="s">
        <v>321</v>
      </c>
      <c r="F81" s="8" t="s">
        <v>53</v>
      </c>
      <c r="G81" s="13"/>
      <c r="H81" s="9">
        <v>0.0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>
        <v>78.0</v>
      </c>
      <c r="B82" s="5" t="s">
        <v>324</v>
      </c>
      <c r="C82" s="8" t="s">
        <v>326</v>
      </c>
      <c r="D82" s="8" t="s">
        <v>50</v>
      </c>
      <c r="E82" s="8" t="s">
        <v>321</v>
      </c>
      <c r="F82" s="8" t="s">
        <v>53</v>
      </c>
      <c r="G82" s="9">
        <v>185.0</v>
      </c>
      <c r="H82" s="9">
        <v>45.71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79.0</v>
      </c>
      <c r="B83" s="5" t="s">
        <v>331</v>
      </c>
      <c r="C83" s="8" t="s">
        <v>333</v>
      </c>
      <c r="D83" s="8" t="s">
        <v>50</v>
      </c>
      <c r="E83" s="8" t="s">
        <v>79</v>
      </c>
      <c r="F83" s="8" t="s">
        <v>53</v>
      </c>
      <c r="G83" s="9">
        <v>1481.0</v>
      </c>
      <c r="H83" s="9">
        <v>120.03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>
        <v>80.0</v>
      </c>
      <c r="B84" s="5" t="s">
        <v>336</v>
      </c>
      <c r="C84" s="8" t="s">
        <v>337</v>
      </c>
      <c r="D84" s="8" t="s">
        <v>35</v>
      </c>
      <c r="E84" s="8" t="s">
        <v>119</v>
      </c>
      <c r="F84" s="8" t="s">
        <v>38</v>
      </c>
      <c r="G84" s="13"/>
      <c r="H84" s="9">
        <v>0.0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>
        <v>81.0</v>
      </c>
      <c r="B85" s="5" t="s">
        <v>341</v>
      </c>
      <c r="C85" s="8" t="s">
        <v>342</v>
      </c>
      <c r="D85" s="8" t="s">
        <v>35</v>
      </c>
      <c r="E85" s="8" t="s">
        <v>119</v>
      </c>
      <c r="F85" s="8" t="s">
        <v>38</v>
      </c>
      <c r="G85" s="9">
        <v>108.0</v>
      </c>
      <c r="H85" s="9">
        <v>2430.0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>
        <v>82.0</v>
      </c>
      <c r="B86" s="5" t="s">
        <v>452</v>
      </c>
      <c r="C86" s="8" t="s">
        <v>454</v>
      </c>
      <c r="D86" s="8" t="s">
        <v>60</v>
      </c>
      <c r="E86" s="8" t="s">
        <v>61</v>
      </c>
      <c r="F86" s="8" t="s">
        <v>53</v>
      </c>
      <c r="G86" s="9">
        <v>10792.0</v>
      </c>
      <c r="H86" s="9">
        <v>35.56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>
        <v>83.0</v>
      </c>
      <c r="B87" s="5" t="s">
        <v>345</v>
      </c>
      <c r="C87" s="8" t="s">
        <v>346</v>
      </c>
      <c r="D87" s="8" t="s">
        <v>60</v>
      </c>
      <c r="E87" s="8" t="s">
        <v>61</v>
      </c>
      <c r="F87" s="8" t="s">
        <v>53</v>
      </c>
      <c r="G87" s="9">
        <v>400.0</v>
      </c>
      <c r="H87" s="9">
        <v>86.67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>
        <v>84.0</v>
      </c>
      <c r="B88" s="5" t="s">
        <v>349</v>
      </c>
      <c r="C88" s="8" t="s">
        <v>350</v>
      </c>
      <c r="D88" s="8" t="s">
        <v>60</v>
      </c>
      <c r="E88" s="8" t="s">
        <v>61</v>
      </c>
      <c r="F88" s="8" t="s">
        <v>53</v>
      </c>
      <c r="G88" s="9">
        <v>37200.0</v>
      </c>
      <c r="H88" s="9">
        <v>78.03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>
        <v>85.0</v>
      </c>
      <c r="B89" s="5" t="s">
        <v>355</v>
      </c>
      <c r="C89" s="8" t="s">
        <v>357</v>
      </c>
      <c r="D89" s="8" t="s">
        <v>60</v>
      </c>
      <c r="E89" s="8" t="s">
        <v>61</v>
      </c>
      <c r="F89" s="8" t="s">
        <v>53</v>
      </c>
      <c r="G89" s="9">
        <v>1325.0</v>
      </c>
      <c r="H89" s="9">
        <v>57.58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>
        <v>86.0</v>
      </c>
      <c r="B90" s="5" t="s">
        <v>360</v>
      </c>
      <c r="C90" s="8" t="s">
        <v>361</v>
      </c>
      <c r="D90" s="8" t="s">
        <v>208</v>
      </c>
      <c r="E90" s="8" t="s">
        <v>192</v>
      </c>
      <c r="F90" s="8" t="s">
        <v>38</v>
      </c>
      <c r="G90" s="9">
        <v>0.0</v>
      </c>
      <c r="H90" s="9">
        <v>2730.0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>
        <v>87.0</v>
      </c>
      <c r="B91" s="5" t="s">
        <v>363</v>
      </c>
      <c r="C91" s="8" t="s">
        <v>364</v>
      </c>
      <c r="D91" s="8" t="s">
        <v>208</v>
      </c>
      <c r="E91" s="8" t="s">
        <v>192</v>
      </c>
      <c r="F91" s="8" t="s">
        <v>38</v>
      </c>
      <c r="G91" s="9">
        <v>5.0</v>
      </c>
      <c r="H91" s="9">
        <v>12500.0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>
        <v>88.0</v>
      </c>
      <c r="B92" s="5" t="s">
        <v>466</v>
      </c>
      <c r="C92" s="8" t="s">
        <v>468</v>
      </c>
      <c r="D92" s="8" t="s">
        <v>60</v>
      </c>
      <c r="E92" s="8" t="s">
        <v>61</v>
      </c>
      <c r="F92" s="8" t="s">
        <v>53</v>
      </c>
      <c r="G92" s="9">
        <v>3725.0</v>
      </c>
      <c r="H92" s="9">
        <v>71.66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89.0</v>
      </c>
      <c r="B93" s="5" t="s">
        <v>366</v>
      </c>
      <c r="C93" s="8" t="s">
        <v>367</v>
      </c>
      <c r="D93" s="8" t="s">
        <v>60</v>
      </c>
      <c r="E93" s="8" t="s">
        <v>61</v>
      </c>
      <c r="F93" s="8" t="s">
        <v>53</v>
      </c>
      <c r="G93" s="9">
        <v>7080.0</v>
      </c>
      <c r="H93" s="9">
        <v>105.07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>
        <v>90.0</v>
      </c>
      <c r="B94" s="5" t="s">
        <v>472</v>
      </c>
      <c r="C94" s="8" t="s">
        <v>473</v>
      </c>
      <c r="D94" s="8" t="s">
        <v>60</v>
      </c>
      <c r="E94" s="8" t="s">
        <v>61</v>
      </c>
      <c r="F94" s="8" t="s">
        <v>53</v>
      </c>
      <c r="G94" s="9">
        <v>636.0</v>
      </c>
      <c r="H94" s="9">
        <v>109.27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91.0</v>
      </c>
      <c r="B95" s="5" t="s">
        <v>476</v>
      </c>
      <c r="C95" s="8" t="s">
        <v>477</v>
      </c>
      <c r="D95" s="8" t="s">
        <v>60</v>
      </c>
      <c r="E95" s="8" t="s">
        <v>61</v>
      </c>
      <c r="F95" s="8" t="s">
        <v>53</v>
      </c>
      <c r="G95" s="9">
        <v>3820.0</v>
      </c>
      <c r="H95" s="9">
        <v>53.0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>
        <v>92.0</v>
      </c>
      <c r="B96" s="5" t="s">
        <v>482</v>
      </c>
      <c r="C96" s="8" t="s">
        <v>484</v>
      </c>
      <c r="D96" s="8" t="s">
        <v>50</v>
      </c>
      <c r="E96" s="8" t="s">
        <v>148</v>
      </c>
      <c r="F96" s="8" t="s">
        <v>38</v>
      </c>
      <c r="G96" s="9">
        <v>97.0</v>
      </c>
      <c r="H96" s="9">
        <v>2240.0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>
        <v>93.0</v>
      </c>
      <c r="B97" s="5" t="s">
        <v>485</v>
      </c>
      <c r="C97" s="8" t="s">
        <v>487</v>
      </c>
      <c r="D97" s="8" t="s">
        <v>35</v>
      </c>
      <c r="E97" s="8" t="s">
        <v>36</v>
      </c>
      <c r="F97" s="8" t="s">
        <v>38</v>
      </c>
      <c r="G97" s="9">
        <v>0.0</v>
      </c>
      <c r="H97" s="9">
        <v>1575.0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>
        <v>94.0</v>
      </c>
      <c r="B98" s="5" t="s">
        <v>372</v>
      </c>
      <c r="C98" s="8" t="s">
        <v>373</v>
      </c>
      <c r="D98" s="8" t="s">
        <v>35</v>
      </c>
      <c r="E98" s="8" t="s">
        <v>36</v>
      </c>
      <c r="F98" s="8" t="s">
        <v>38</v>
      </c>
      <c r="G98" s="9">
        <v>804.0</v>
      </c>
      <c r="H98" s="9">
        <v>1050.0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>
        <v>95.0</v>
      </c>
      <c r="B99" s="5" t="s">
        <v>375</v>
      </c>
      <c r="C99" s="8" t="s">
        <v>376</v>
      </c>
      <c r="D99" s="8" t="s">
        <v>35</v>
      </c>
      <c r="E99" s="8" t="s">
        <v>36</v>
      </c>
      <c r="F99" s="8" t="s">
        <v>38</v>
      </c>
      <c r="G99" s="9">
        <v>369.0</v>
      </c>
      <c r="H99" s="9">
        <v>640.5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>
        <v>96.0</v>
      </c>
      <c r="B100" s="5" t="s">
        <v>378</v>
      </c>
      <c r="C100" s="8" t="s">
        <v>379</v>
      </c>
      <c r="D100" s="8" t="s">
        <v>60</v>
      </c>
      <c r="E100" s="8" t="s">
        <v>61</v>
      </c>
      <c r="F100" s="8" t="s">
        <v>53</v>
      </c>
      <c r="G100" s="9">
        <v>8000.0</v>
      </c>
      <c r="H100" s="9">
        <v>29.12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>
        <v>97.0</v>
      </c>
      <c r="B101" s="5" t="s">
        <v>495</v>
      </c>
      <c r="C101" s="8" t="s">
        <v>496</v>
      </c>
      <c r="D101" s="8" t="s">
        <v>60</v>
      </c>
      <c r="E101" s="8" t="s">
        <v>61</v>
      </c>
      <c r="F101" s="8" t="s">
        <v>53</v>
      </c>
      <c r="G101" s="9">
        <v>0.0</v>
      </c>
      <c r="H101" s="9">
        <v>34.5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>
        <v>98.0</v>
      </c>
      <c r="B102" s="5" t="s">
        <v>382</v>
      </c>
      <c r="C102" s="8" t="s">
        <v>383</v>
      </c>
      <c r="D102" s="8" t="s">
        <v>60</v>
      </c>
      <c r="E102" s="8" t="s">
        <v>61</v>
      </c>
      <c r="F102" s="8" t="s">
        <v>53</v>
      </c>
      <c r="G102" s="9">
        <v>32917.0</v>
      </c>
      <c r="H102" s="9">
        <v>21.64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>
        <v>99.0</v>
      </c>
      <c r="B103" s="5" t="s">
        <v>387</v>
      </c>
      <c r="C103" s="8" t="s">
        <v>502</v>
      </c>
      <c r="D103" s="8" t="s">
        <v>60</v>
      </c>
      <c r="E103" s="8" t="s">
        <v>61</v>
      </c>
      <c r="F103" s="8" t="s">
        <v>53</v>
      </c>
      <c r="G103" s="13"/>
      <c r="H103" s="9">
        <v>19.5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>
        <v>100.0</v>
      </c>
      <c r="B104" s="5" t="s">
        <v>390</v>
      </c>
      <c r="C104" s="8" t="s">
        <v>391</v>
      </c>
      <c r="D104" s="8" t="s">
        <v>35</v>
      </c>
      <c r="E104" s="8" t="s">
        <v>192</v>
      </c>
      <c r="F104" s="8" t="s">
        <v>38</v>
      </c>
      <c r="G104" s="9">
        <v>7.0</v>
      </c>
      <c r="H104" s="9">
        <v>4050.0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>
        <v>101.0</v>
      </c>
      <c r="B105" s="5" t="s">
        <v>394</v>
      </c>
      <c r="C105" s="8" t="s">
        <v>395</v>
      </c>
      <c r="D105" s="8" t="s">
        <v>208</v>
      </c>
      <c r="E105" s="8" t="s">
        <v>192</v>
      </c>
      <c r="F105" s="8" t="s">
        <v>38</v>
      </c>
      <c r="G105" s="9">
        <v>4.0</v>
      </c>
      <c r="H105" s="9">
        <v>3000.0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>
        <v>102.0</v>
      </c>
      <c r="B106" s="5" t="s">
        <v>512</v>
      </c>
      <c r="C106" s="8" t="s">
        <v>513</v>
      </c>
      <c r="D106" s="8" t="s">
        <v>208</v>
      </c>
      <c r="E106" s="8" t="s">
        <v>192</v>
      </c>
      <c r="F106" s="8" t="s">
        <v>38</v>
      </c>
      <c r="G106" s="13"/>
      <c r="H106" s="9">
        <v>3000.0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>
        <v>103.0</v>
      </c>
      <c r="B107" s="5" t="s">
        <v>516</v>
      </c>
      <c r="C107" s="8" t="s">
        <v>518</v>
      </c>
      <c r="D107" s="8" t="s">
        <v>50</v>
      </c>
      <c r="E107" s="8" t="s">
        <v>70</v>
      </c>
      <c r="F107" s="8" t="s">
        <v>519</v>
      </c>
      <c r="G107" s="9">
        <v>58.0</v>
      </c>
      <c r="H107" s="9">
        <v>20.0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>
        <v>104.0</v>
      </c>
      <c r="B108" s="5" t="s">
        <v>522</v>
      </c>
      <c r="C108" s="8" t="s">
        <v>524</v>
      </c>
      <c r="D108" s="8" t="s">
        <v>208</v>
      </c>
      <c r="E108" s="8" t="s">
        <v>192</v>
      </c>
      <c r="F108" s="8" t="s">
        <v>525</v>
      </c>
      <c r="G108" s="9">
        <v>1.0</v>
      </c>
      <c r="H108" s="9">
        <v>11760.0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>
        <v>105.0</v>
      </c>
      <c r="B109" s="5" t="s">
        <v>528</v>
      </c>
      <c r="C109" s="8" t="s">
        <v>529</v>
      </c>
      <c r="D109" s="8" t="s">
        <v>208</v>
      </c>
      <c r="E109" s="8" t="s">
        <v>192</v>
      </c>
      <c r="F109" s="8" t="s">
        <v>525</v>
      </c>
      <c r="G109" s="9">
        <v>10.0</v>
      </c>
      <c r="H109" s="9">
        <v>12810.0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>
        <v>106.0</v>
      </c>
      <c r="B110" s="5" t="s">
        <v>532</v>
      </c>
      <c r="C110" s="8" t="s">
        <v>533</v>
      </c>
      <c r="D110" s="8" t="s">
        <v>208</v>
      </c>
      <c r="E110" s="8" t="s">
        <v>192</v>
      </c>
      <c r="F110" s="8" t="s">
        <v>525</v>
      </c>
      <c r="G110" s="9">
        <v>0.0</v>
      </c>
      <c r="H110" s="9">
        <v>12810.0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>
        <v>107.0</v>
      </c>
      <c r="B111" s="5" t="s">
        <v>397</v>
      </c>
      <c r="C111" s="8" t="s">
        <v>398</v>
      </c>
      <c r="D111" s="8" t="s">
        <v>208</v>
      </c>
      <c r="E111" s="8" t="s">
        <v>192</v>
      </c>
      <c r="F111" s="8" t="s">
        <v>45</v>
      </c>
      <c r="G111" s="9">
        <v>6.0</v>
      </c>
      <c r="H111" s="9">
        <v>21578.0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>
        <v>108.0</v>
      </c>
      <c r="B112" s="5" t="s">
        <v>401</v>
      </c>
      <c r="C112" s="8" t="s">
        <v>402</v>
      </c>
      <c r="D112" s="8" t="s">
        <v>208</v>
      </c>
      <c r="E112" s="8" t="s">
        <v>192</v>
      </c>
      <c r="F112" s="8" t="s">
        <v>403</v>
      </c>
      <c r="G112" s="13"/>
      <c r="H112" s="9">
        <v>53025.0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>
        <v>109.0</v>
      </c>
      <c r="B113" s="5" t="s">
        <v>405</v>
      </c>
      <c r="C113" s="8" t="s">
        <v>406</v>
      </c>
      <c r="D113" s="8" t="s">
        <v>208</v>
      </c>
      <c r="E113" s="8" t="s">
        <v>192</v>
      </c>
      <c r="F113" s="8" t="s">
        <v>403</v>
      </c>
      <c r="G113" s="13"/>
      <c r="H113" s="9">
        <v>53025.0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>
        <v>110.0</v>
      </c>
      <c r="B114" s="5" t="s">
        <v>410</v>
      </c>
      <c r="C114" s="8" t="s">
        <v>411</v>
      </c>
      <c r="D114" s="8" t="s">
        <v>208</v>
      </c>
      <c r="E114" s="8" t="s">
        <v>192</v>
      </c>
      <c r="F114" s="8" t="s">
        <v>403</v>
      </c>
      <c r="G114" s="13"/>
      <c r="H114" s="9">
        <v>53025.0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>
        <v>111.0</v>
      </c>
      <c r="B115" s="5" t="s">
        <v>413</v>
      </c>
      <c r="C115" s="8" t="s">
        <v>415</v>
      </c>
      <c r="D115" s="8" t="s">
        <v>208</v>
      </c>
      <c r="E115" s="8" t="s">
        <v>192</v>
      </c>
      <c r="F115" s="8" t="s">
        <v>403</v>
      </c>
      <c r="G115" s="13"/>
      <c r="H115" s="9">
        <v>53025.0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>
        <v>112.0</v>
      </c>
      <c r="B116" s="5" t="s">
        <v>418</v>
      </c>
      <c r="C116" s="8" t="s">
        <v>419</v>
      </c>
      <c r="D116" s="8" t="s">
        <v>208</v>
      </c>
      <c r="E116" s="8" t="s">
        <v>192</v>
      </c>
      <c r="F116" s="8" t="s">
        <v>420</v>
      </c>
      <c r="G116" s="9">
        <v>360.0</v>
      </c>
      <c r="H116" s="9">
        <v>15750.0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>
        <v>113.0</v>
      </c>
      <c r="B117" s="5" t="s">
        <v>422</v>
      </c>
      <c r="C117" s="8" t="s">
        <v>424</v>
      </c>
      <c r="D117" s="8" t="s">
        <v>208</v>
      </c>
      <c r="E117" s="8" t="s">
        <v>192</v>
      </c>
      <c r="F117" s="8" t="s">
        <v>420</v>
      </c>
      <c r="G117" s="9">
        <v>84.0</v>
      </c>
      <c r="H117" s="9">
        <v>15750.0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>
        <v>114.0</v>
      </c>
      <c r="B118" s="5" t="s">
        <v>426</v>
      </c>
      <c r="C118" s="8" t="s">
        <v>428</v>
      </c>
      <c r="D118" s="8" t="s">
        <v>208</v>
      </c>
      <c r="E118" s="8" t="s">
        <v>192</v>
      </c>
      <c r="F118" s="8" t="s">
        <v>420</v>
      </c>
      <c r="G118" s="9">
        <v>30.0</v>
      </c>
      <c r="H118" s="9">
        <v>15750.0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>
        <v>115.0</v>
      </c>
      <c r="B119" s="5" t="s">
        <v>430</v>
      </c>
      <c r="C119" s="8" t="s">
        <v>431</v>
      </c>
      <c r="D119" s="8" t="s">
        <v>208</v>
      </c>
      <c r="E119" s="8" t="s">
        <v>192</v>
      </c>
      <c r="F119" s="8" t="s">
        <v>62</v>
      </c>
      <c r="G119" s="9">
        <v>128.0</v>
      </c>
      <c r="H119" s="9">
        <v>30450.0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>
        <v>116.0</v>
      </c>
      <c r="B120" s="5" t="s">
        <v>434</v>
      </c>
      <c r="C120" s="8" t="s">
        <v>435</v>
      </c>
      <c r="D120" s="8" t="s">
        <v>208</v>
      </c>
      <c r="E120" s="8" t="s">
        <v>192</v>
      </c>
      <c r="F120" s="8" t="s">
        <v>62</v>
      </c>
      <c r="G120" s="9">
        <v>30.0</v>
      </c>
      <c r="H120" s="9">
        <v>30450.0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>
        <v>117.0</v>
      </c>
      <c r="B121" s="5" t="s">
        <v>438</v>
      </c>
      <c r="C121" s="8" t="s">
        <v>439</v>
      </c>
      <c r="D121" s="8" t="s">
        <v>208</v>
      </c>
      <c r="E121" s="8" t="s">
        <v>192</v>
      </c>
      <c r="F121" s="8" t="s">
        <v>442</v>
      </c>
      <c r="G121" s="9">
        <v>0.0</v>
      </c>
      <c r="H121" s="9">
        <v>15187.5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>
        <v>118.0</v>
      </c>
      <c r="B122" s="5" t="s">
        <v>443</v>
      </c>
      <c r="C122" s="8" t="s">
        <v>444</v>
      </c>
      <c r="D122" s="8" t="s">
        <v>208</v>
      </c>
      <c r="E122" s="8" t="s">
        <v>192</v>
      </c>
      <c r="F122" s="8" t="s">
        <v>442</v>
      </c>
      <c r="G122" s="9">
        <v>3.0</v>
      </c>
      <c r="H122" s="9">
        <v>121868.18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>
        <v>119.0</v>
      </c>
      <c r="B123" s="5" t="s">
        <v>445</v>
      </c>
      <c r="C123" s="8" t="s">
        <v>446</v>
      </c>
      <c r="D123" s="8" t="s">
        <v>50</v>
      </c>
      <c r="E123" s="8" t="s">
        <v>447</v>
      </c>
      <c r="F123" s="8" t="s">
        <v>53</v>
      </c>
      <c r="G123" s="9">
        <v>0.0</v>
      </c>
      <c r="H123" s="9">
        <v>75.17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>
        <v>120.0</v>
      </c>
      <c r="B124" s="5" t="s">
        <v>565</v>
      </c>
      <c r="C124" s="8" t="s">
        <v>566</v>
      </c>
      <c r="D124" s="8" t="s">
        <v>60</v>
      </c>
      <c r="E124" s="8" t="s">
        <v>61</v>
      </c>
      <c r="F124" s="8" t="s">
        <v>53</v>
      </c>
      <c r="G124" s="9">
        <v>760.0</v>
      </c>
      <c r="H124" s="9">
        <v>141.76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>
        <v>121.0</v>
      </c>
      <c r="B125" s="5" t="s">
        <v>448</v>
      </c>
      <c r="C125" s="8" t="s">
        <v>449</v>
      </c>
      <c r="D125" s="8" t="s">
        <v>60</v>
      </c>
      <c r="E125" s="8" t="s">
        <v>61</v>
      </c>
      <c r="F125" s="8" t="s">
        <v>53</v>
      </c>
      <c r="G125" s="9">
        <v>1430.0</v>
      </c>
      <c r="H125" s="9">
        <v>70.72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>
        <v>122.0</v>
      </c>
      <c r="B126" s="5" t="s">
        <v>450</v>
      </c>
      <c r="C126" s="8" t="s">
        <v>451</v>
      </c>
      <c r="D126" s="8" t="s">
        <v>60</v>
      </c>
      <c r="E126" s="8" t="s">
        <v>61</v>
      </c>
      <c r="F126" s="8" t="s">
        <v>53</v>
      </c>
      <c r="G126" s="9">
        <v>1692.0</v>
      </c>
      <c r="H126" s="9">
        <v>77.5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>
        <v>123.0</v>
      </c>
      <c r="B127" s="5" t="s">
        <v>453</v>
      </c>
      <c r="C127" s="8" t="s">
        <v>455</v>
      </c>
      <c r="D127" s="8" t="s">
        <v>50</v>
      </c>
      <c r="E127" s="8" t="s">
        <v>447</v>
      </c>
      <c r="F127" s="8" t="s">
        <v>53</v>
      </c>
      <c r="G127" s="9">
        <v>1276.0</v>
      </c>
      <c r="H127" s="9">
        <v>215.0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>
        <v>124.0</v>
      </c>
      <c r="B128" s="5" t="s">
        <v>456</v>
      </c>
      <c r="C128" s="8" t="s">
        <v>457</v>
      </c>
      <c r="D128" s="8" t="s">
        <v>50</v>
      </c>
      <c r="E128" s="8" t="s">
        <v>447</v>
      </c>
      <c r="F128" s="8" t="s">
        <v>53</v>
      </c>
      <c r="G128" s="9">
        <v>1023.0</v>
      </c>
      <c r="H128" s="9">
        <v>90.32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>
        <v>125.0</v>
      </c>
      <c r="B129" s="5" t="s">
        <v>458</v>
      </c>
      <c r="C129" s="8" t="s">
        <v>459</v>
      </c>
      <c r="D129" s="8" t="s">
        <v>50</v>
      </c>
      <c r="E129" s="8" t="s">
        <v>447</v>
      </c>
      <c r="F129" s="8" t="s">
        <v>53</v>
      </c>
      <c r="G129" s="9">
        <v>2756.0</v>
      </c>
      <c r="H129" s="9">
        <v>299.8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>
        <v>126.0</v>
      </c>
      <c r="B130" s="5" t="s">
        <v>461</v>
      </c>
      <c r="C130" s="8" t="s">
        <v>462</v>
      </c>
      <c r="D130" s="8" t="s">
        <v>50</v>
      </c>
      <c r="E130" s="8" t="s">
        <v>447</v>
      </c>
      <c r="F130" s="8" t="s">
        <v>53</v>
      </c>
      <c r="G130" s="9">
        <v>922.0</v>
      </c>
      <c r="H130" s="9">
        <v>153.2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>
        <v>127.0</v>
      </c>
      <c r="B131" s="5" t="s">
        <v>464</v>
      </c>
      <c r="C131" s="8" t="s">
        <v>465</v>
      </c>
      <c r="D131" s="8" t="s">
        <v>60</v>
      </c>
      <c r="E131" s="8" t="s">
        <v>61</v>
      </c>
      <c r="F131" s="8" t="s">
        <v>53</v>
      </c>
      <c r="G131" s="9">
        <v>4009.0</v>
      </c>
      <c r="H131" s="9">
        <v>225.4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>
        <v>128.0</v>
      </c>
      <c r="B132" s="5" t="s">
        <v>467</v>
      </c>
      <c r="C132" s="8" t="s">
        <v>469</v>
      </c>
      <c r="D132" s="8" t="s">
        <v>50</v>
      </c>
      <c r="E132" s="8" t="s">
        <v>447</v>
      </c>
      <c r="F132" s="8" t="s">
        <v>53</v>
      </c>
      <c r="G132" s="13"/>
      <c r="H132" s="9">
        <v>148.14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>
        <v>129.0</v>
      </c>
      <c r="B133" s="5" t="s">
        <v>470</v>
      </c>
      <c r="C133" s="8" t="s">
        <v>471</v>
      </c>
      <c r="D133" s="8" t="s">
        <v>50</v>
      </c>
      <c r="E133" s="8" t="s">
        <v>447</v>
      </c>
      <c r="F133" s="8" t="s">
        <v>53</v>
      </c>
      <c r="G133" s="9">
        <v>75.0</v>
      </c>
      <c r="H133" s="9">
        <v>151.2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>
        <v>130.0</v>
      </c>
      <c r="B134" s="5" t="s">
        <v>474</v>
      </c>
      <c r="C134" s="8" t="s">
        <v>475</v>
      </c>
      <c r="D134" s="8" t="s">
        <v>60</v>
      </c>
      <c r="E134" s="8" t="s">
        <v>61</v>
      </c>
      <c r="F134" s="8" t="s">
        <v>53</v>
      </c>
      <c r="G134" s="9">
        <v>2788.0</v>
      </c>
      <c r="H134" s="9">
        <v>151.96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>
        <v>131.0</v>
      </c>
      <c r="B135" s="5" t="s">
        <v>478</v>
      </c>
      <c r="C135" s="8" t="s">
        <v>479</v>
      </c>
      <c r="D135" s="8" t="s">
        <v>50</v>
      </c>
      <c r="E135" s="8" t="s">
        <v>447</v>
      </c>
      <c r="F135" s="8" t="s">
        <v>53</v>
      </c>
      <c r="G135" s="9">
        <v>1308.0</v>
      </c>
      <c r="H135" s="9">
        <v>71.86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>
        <v>132.0</v>
      </c>
      <c r="B136" s="5" t="s">
        <v>593</v>
      </c>
      <c r="C136" s="8" t="s">
        <v>594</v>
      </c>
      <c r="D136" s="8" t="s">
        <v>50</v>
      </c>
      <c r="E136" s="8" t="s">
        <v>447</v>
      </c>
      <c r="F136" s="8" t="s">
        <v>53</v>
      </c>
      <c r="G136" s="13"/>
      <c r="H136" s="9">
        <v>0.0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>
        <v>133.0</v>
      </c>
      <c r="B137" s="5" t="s">
        <v>597</v>
      </c>
      <c r="C137" s="8" t="s">
        <v>598</v>
      </c>
      <c r="D137" s="8" t="s">
        <v>50</v>
      </c>
      <c r="E137" s="8" t="s">
        <v>447</v>
      </c>
      <c r="F137" s="8" t="s">
        <v>53</v>
      </c>
      <c r="G137" s="13"/>
      <c r="H137" s="9">
        <v>0.0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>
        <v>134.0</v>
      </c>
      <c r="B138" s="5" t="s">
        <v>481</v>
      </c>
      <c r="C138" s="8" t="s">
        <v>483</v>
      </c>
      <c r="D138" s="8" t="s">
        <v>50</v>
      </c>
      <c r="E138" s="8" t="s">
        <v>447</v>
      </c>
      <c r="F138" s="8" t="s">
        <v>53</v>
      </c>
      <c r="G138" s="9">
        <v>67.0</v>
      </c>
      <c r="H138" s="9">
        <v>164.34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>
        <v>135.0</v>
      </c>
      <c r="B139" s="5" t="s">
        <v>486</v>
      </c>
      <c r="C139" s="8" t="s">
        <v>488</v>
      </c>
      <c r="D139" s="8" t="s">
        <v>50</v>
      </c>
      <c r="E139" s="8" t="s">
        <v>447</v>
      </c>
      <c r="F139" s="8" t="s">
        <v>53</v>
      </c>
      <c r="G139" s="9">
        <v>1094.0</v>
      </c>
      <c r="H139" s="9">
        <v>77.03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>
        <v>136.0</v>
      </c>
      <c r="B140" s="5" t="s">
        <v>605</v>
      </c>
      <c r="C140" s="8" t="s">
        <v>606</v>
      </c>
      <c r="D140" s="8" t="s">
        <v>60</v>
      </c>
      <c r="E140" s="8" t="s">
        <v>61</v>
      </c>
      <c r="F140" s="8" t="s">
        <v>53</v>
      </c>
      <c r="G140" s="9">
        <v>540.0</v>
      </c>
      <c r="H140" s="9">
        <v>312.1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>
        <v>137.0</v>
      </c>
      <c r="B141" s="5" t="s">
        <v>609</v>
      </c>
      <c r="C141" s="8" t="s">
        <v>610</v>
      </c>
      <c r="D141" s="8" t="s">
        <v>50</v>
      </c>
      <c r="E141" s="8" t="s">
        <v>447</v>
      </c>
      <c r="F141" s="8" t="s">
        <v>53</v>
      </c>
      <c r="G141" s="13"/>
      <c r="H141" s="9">
        <v>0.0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>
        <v>138.0</v>
      </c>
      <c r="B142" s="5" t="s">
        <v>613</v>
      </c>
      <c r="C142" s="8" t="s">
        <v>614</v>
      </c>
      <c r="D142" s="8" t="s">
        <v>60</v>
      </c>
      <c r="E142" s="8" t="s">
        <v>61</v>
      </c>
      <c r="F142" s="8" t="s">
        <v>53</v>
      </c>
      <c r="G142" s="9">
        <v>530.0</v>
      </c>
      <c r="H142" s="9">
        <v>80.56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>
        <v>139.0</v>
      </c>
      <c r="B143" s="5" t="s">
        <v>489</v>
      </c>
      <c r="C143" s="8" t="s">
        <v>490</v>
      </c>
      <c r="D143" s="8" t="s">
        <v>50</v>
      </c>
      <c r="E143" s="8" t="s">
        <v>447</v>
      </c>
      <c r="F143" s="8" t="s">
        <v>53</v>
      </c>
      <c r="G143" s="9">
        <v>213.0</v>
      </c>
      <c r="H143" s="9">
        <v>165.62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>
        <v>140.0</v>
      </c>
      <c r="B144" s="5" t="s">
        <v>491</v>
      </c>
      <c r="C144" s="8" t="s">
        <v>492</v>
      </c>
      <c r="D144" s="8" t="s">
        <v>50</v>
      </c>
      <c r="E144" s="8" t="s">
        <v>447</v>
      </c>
      <c r="F144" s="8" t="s">
        <v>53</v>
      </c>
      <c r="G144" s="9">
        <v>735.0</v>
      </c>
      <c r="H144" s="9">
        <v>65.65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>
        <v>141.0</v>
      </c>
      <c r="B145" s="5" t="s">
        <v>493</v>
      </c>
      <c r="C145" s="8" t="s">
        <v>494</v>
      </c>
      <c r="D145" s="8" t="s">
        <v>50</v>
      </c>
      <c r="E145" s="8" t="s">
        <v>447</v>
      </c>
      <c r="F145" s="8" t="s">
        <v>53</v>
      </c>
      <c r="G145" s="9">
        <v>770.0</v>
      </c>
      <c r="H145" s="9">
        <v>164.34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>
        <v>142.0</v>
      </c>
      <c r="B146" s="5" t="s">
        <v>497</v>
      </c>
      <c r="C146" s="8" t="s">
        <v>498</v>
      </c>
      <c r="D146" s="8" t="s">
        <v>50</v>
      </c>
      <c r="E146" s="8" t="s">
        <v>148</v>
      </c>
      <c r="F146" s="8" t="s">
        <v>53</v>
      </c>
      <c r="G146" s="9">
        <v>660.0</v>
      </c>
      <c r="H146" s="9">
        <v>45.45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>
        <v>143.0</v>
      </c>
      <c r="B147" s="5" t="s">
        <v>627</v>
      </c>
      <c r="C147" s="8" t="s">
        <v>629</v>
      </c>
      <c r="D147" s="8" t="s">
        <v>50</v>
      </c>
      <c r="E147" s="8" t="s">
        <v>180</v>
      </c>
      <c r="F147" s="8" t="s">
        <v>53</v>
      </c>
      <c r="G147" s="9">
        <v>11000.0</v>
      </c>
      <c r="H147" s="9">
        <v>64.39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>
        <v>144.0</v>
      </c>
      <c r="B148" s="5" t="s">
        <v>500</v>
      </c>
      <c r="C148" s="8" t="s">
        <v>501</v>
      </c>
      <c r="D148" s="8" t="s">
        <v>50</v>
      </c>
      <c r="E148" s="8" t="s">
        <v>180</v>
      </c>
      <c r="F148" s="8" t="s">
        <v>53</v>
      </c>
      <c r="G148" s="9">
        <v>2178.0</v>
      </c>
      <c r="H148" s="9">
        <v>63.95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>
        <v>145.0</v>
      </c>
      <c r="B149" s="5" t="s">
        <v>503</v>
      </c>
      <c r="C149" s="8" t="s">
        <v>504</v>
      </c>
      <c r="D149" s="8" t="s">
        <v>50</v>
      </c>
      <c r="E149" s="8" t="s">
        <v>180</v>
      </c>
      <c r="F149" s="8" t="s">
        <v>38</v>
      </c>
      <c r="G149" s="9">
        <v>393.0</v>
      </c>
      <c r="H149" s="9">
        <v>3098.0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>
        <v>146.0</v>
      </c>
      <c r="B150" s="5" t="s">
        <v>636</v>
      </c>
      <c r="C150" s="8" t="s">
        <v>638</v>
      </c>
      <c r="D150" s="8" t="s">
        <v>50</v>
      </c>
      <c r="E150" s="8" t="s">
        <v>180</v>
      </c>
      <c r="F150" s="8" t="s">
        <v>38</v>
      </c>
      <c r="G150" s="9">
        <v>146.0</v>
      </c>
      <c r="H150" s="9">
        <v>2100.0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>
        <v>147.0</v>
      </c>
      <c r="B151" s="5" t="s">
        <v>640</v>
      </c>
      <c r="C151" s="8" t="s">
        <v>642</v>
      </c>
      <c r="D151" s="8" t="s">
        <v>50</v>
      </c>
      <c r="E151" s="8" t="s">
        <v>180</v>
      </c>
      <c r="F151" s="8" t="s">
        <v>38</v>
      </c>
      <c r="G151" s="13"/>
      <c r="H151" s="9">
        <v>4200.0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>
        <v>148.0</v>
      </c>
      <c r="B152" s="5" t="s">
        <v>644</v>
      </c>
      <c r="C152" s="8" t="s">
        <v>646</v>
      </c>
      <c r="D152" s="8" t="s">
        <v>60</v>
      </c>
      <c r="E152" s="8" t="s">
        <v>61</v>
      </c>
      <c r="F152" s="8" t="s">
        <v>53</v>
      </c>
      <c r="G152" s="9">
        <v>0.0</v>
      </c>
      <c r="H152" s="9">
        <v>81.11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>
        <v>149.0</v>
      </c>
      <c r="B153" s="5" t="s">
        <v>648</v>
      </c>
      <c r="C153" s="8" t="s">
        <v>650</v>
      </c>
      <c r="D153" s="8" t="s">
        <v>60</v>
      </c>
      <c r="E153" s="8" t="s">
        <v>61</v>
      </c>
      <c r="F153" s="8" t="s">
        <v>53</v>
      </c>
      <c r="G153" s="9">
        <v>1639.0</v>
      </c>
      <c r="H153" s="9">
        <v>55.13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>
        <v>150.0</v>
      </c>
      <c r="B154" s="5" t="s">
        <v>506</v>
      </c>
      <c r="C154" s="8" t="s">
        <v>507</v>
      </c>
      <c r="D154" s="8" t="s">
        <v>50</v>
      </c>
      <c r="E154" s="8" t="s">
        <v>508</v>
      </c>
      <c r="F154" s="8" t="s">
        <v>53</v>
      </c>
      <c r="G154" s="9">
        <v>2929.0</v>
      </c>
      <c r="H154" s="9">
        <v>112.62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>
        <v>151.0</v>
      </c>
      <c r="B155" s="5" t="s">
        <v>510</v>
      </c>
      <c r="C155" s="8" t="s">
        <v>511</v>
      </c>
      <c r="D155" s="8" t="s">
        <v>50</v>
      </c>
      <c r="E155" s="8" t="s">
        <v>508</v>
      </c>
      <c r="F155" s="8" t="s">
        <v>53</v>
      </c>
      <c r="G155" s="9">
        <v>3220.0</v>
      </c>
      <c r="H155" s="9">
        <v>112.62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>
        <v>152.0</v>
      </c>
      <c r="B156" s="5" t="s">
        <v>514</v>
      </c>
      <c r="C156" s="8" t="s">
        <v>515</v>
      </c>
      <c r="D156" s="8" t="s">
        <v>50</v>
      </c>
      <c r="E156" s="8" t="s">
        <v>508</v>
      </c>
      <c r="F156" s="8" t="s">
        <v>53</v>
      </c>
      <c r="G156" s="9">
        <v>950.0</v>
      </c>
      <c r="H156" s="9">
        <v>200.97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>
        <v>153.0</v>
      </c>
      <c r="B157" s="5" t="s">
        <v>520</v>
      </c>
      <c r="C157" s="8" t="s">
        <v>521</v>
      </c>
      <c r="D157" s="8" t="s">
        <v>50</v>
      </c>
      <c r="E157" s="8" t="s">
        <v>508</v>
      </c>
      <c r="F157" s="8" t="s">
        <v>53</v>
      </c>
      <c r="G157" s="13"/>
      <c r="H157" s="9">
        <v>200.97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>
        <v>154.0</v>
      </c>
      <c r="B158" s="5" t="s">
        <v>526</v>
      </c>
      <c r="C158" s="8" t="s">
        <v>527</v>
      </c>
      <c r="D158" s="8" t="s">
        <v>60</v>
      </c>
      <c r="E158" s="8" t="s">
        <v>61</v>
      </c>
      <c r="F158" s="8" t="s">
        <v>53</v>
      </c>
      <c r="G158" s="9">
        <v>6000.0</v>
      </c>
      <c r="H158" s="9">
        <v>74.97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>
        <v>155.0</v>
      </c>
      <c r="B159" s="5" t="s">
        <v>530</v>
      </c>
      <c r="C159" s="8" t="s">
        <v>531</v>
      </c>
      <c r="D159" s="8" t="s">
        <v>60</v>
      </c>
      <c r="E159" s="8" t="s">
        <v>61</v>
      </c>
      <c r="F159" s="8" t="s">
        <v>53</v>
      </c>
      <c r="G159" s="9">
        <v>60.0</v>
      </c>
      <c r="H159" s="9">
        <v>46.8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>
        <v>156.0</v>
      </c>
      <c r="B160" s="5" t="s">
        <v>664</v>
      </c>
      <c r="C160" s="8" t="s">
        <v>665</v>
      </c>
      <c r="D160" s="8" t="s">
        <v>60</v>
      </c>
      <c r="E160" s="8" t="s">
        <v>61</v>
      </c>
      <c r="F160" s="8" t="s">
        <v>53</v>
      </c>
      <c r="G160" s="9">
        <v>0.0</v>
      </c>
      <c r="H160" s="9">
        <v>209.84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>
        <v>157.0</v>
      </c>
      <c r="B161" s="5" t="s">
        <v>668</v>
      </c>
      <c r="C161" s="8" t="s">
        <v>669</v>
      </c>
      <c r="D161" s="8" t="s">
        <v>60</v>
      </c>
      <c r="E161" s="8" t="s">
        <v>61</v>
      </c>
      <c r="F161" s="8" t="s">
        <v>53</v>
      </c>
      <c r="G161" s="9">
        <v>0.0</v>
      </c>
      <c r="H161" s="9">
        <v>0.0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>
        <v>158.0</v>
      </c>
      <c r="B162" s="5" t="s">
        <v>535</v>
      </c>
      <c r="C162" s="8" t="s">
        <v>536</v>
      </c>
      <c r="D162" s="8" t="s">
        <v>50</v>
      </c>
      <c r="E162" s="8" t="s">
        <v>508</v>
      </c>
      <c r="F162" s="8" t="s">
        <v>53</v>
      </c>
      <c r="G162" s="13"/>
      <c r="H162" s="9">
        <v>84.17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>
        <v>159.0</v>
      </c>
      <c r="B163" s="5" t="s">
        <v>538</v>
      </c>
      <c r="C163" s="8" t="s">
        <v>539</v>
      </c>
      <c r="D163" s="8" t="s">
        <v>50</v>
      </c>
      <c r="E163" s="8" t="s">
        <v>508</v>
      </c>
      <c r="F163" s="8" t="s">
        <v>53</v>
      </c>
      <c r="G163" s="13"/>
      <c r="H163" s="9">
        <v>84.17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>
        <v>160.0</v>
      </c>
      <c r="B164" s="5" t="s">
        <v>677</v>
      </c>
      <c r="C164" s="8" t="s">
        <v>678</v>
      </c>
      <c r="D164" s="8" t="s">
        <v>60</v>
      </c>
      <c r="E164" s="8" t="s">
        <v>61</v>
      </c>
      <c r="F164" s="8" t="s">
        <v>53</v>
      </c>
      <c r="G164" s="13"/>
      <c r="H164" s="9">
        <v>46.31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>
        <v>161.0</v>
      </c>
      <c r="B165" s="5" t="s">
        <v>540</v>
      </c>
      <c r="C165" s="8" t="s">
        <v>541</v>
      </c>
      <c r="D165" s="8" t="s">
        <v>60</v>
      </c>
      <c r="E165" s="8" t="s">
        <v>61</v>
      </c>
      <c r="F165" s="8" t="s">
        <v>53</v>
      </c>
      <c r="G165" s="9">
        <v>3300.0</v>
      </c>
      <c r="H165" s="9">
        <v>26.46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>
        <v>162.0</v>
      </c>
      <c r="B166" s="5" t="s">
        <v>684</v>
      </c>
      <c r="C166" s="8" t="s">
        <v>685</v>
      </c>
      <c r="D166" s="8" t="s">
        <v>60</v>
      </c>
      <c r="E166" s="8" t="s">
        <v>61</v>
      </c>
      <c r="F166" s="8" t="s">
        <v>53</v>
      </c>
      <c r="G166" s="9">
        <v>735.0</v>
      </c>
      <c r="H166" s="9">
        <v>54.4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>
        <v>163.0</v>
      </c>
      <c r="B167" s="5" t="s">
        <v>689</v>
      </c>
      <c r="C167" s="8" t="s">
        <v>690</v>
      </c>
      <c r="D167" s="8" t="s">
        <v>60</v>
      </c>
      <c r="E167" s="8" t="s">
        <v>61</v>
      </c>
      <c r="F167" s="8" t="s">
        <v>53</v>
      </c>
      <c r="G167" s="13"/>
      <c r="H167" s="9">
        <v>0.0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>
        <v>164.0</v>
      </c>
      <c r="B168" s="5" t="s">
        <v>542</v>
      </c>
      <c r="C168" s="8" t="s">
        <v>543</v>
      </c>
      <c r="D168" s="8" t="s">
        <v>35</v>
      </c>
      <c r="E168" s="8" t="s">
        <v>119</v>
      </c>
      <c r="F168" s="8" t="s">
        <v>38</v>
      </c>
      <c r="G168" s="9">
        <v>622.0</v>
      </c>
      <c r="H168" s="9">
        <v>84.0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>
        <v>165.0</v>
      </c>
      <c r="B169" s="5" t="s">
        <v>545</v>
      </c>
      <c r="C169" s="8" t="s">
        <v>546</v>
      </c>
      <c r="D169" s="8" t="s">
        <v>35</v>
      </c>
      <c r="E169" s="8" t="s">
        <v>119</v>
      </c>
      <c r="F169" s="8" t="s">
        <v>38</v>
      </c>
      <c r="G169" s="9">
        <v>583.0</v>
      </c>
      <c r="H169" s="9">
        <v>46.62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>
        <v>166.0</v>
      </c>
      <c r="B170" s="5" t="s">
        <v>697</v>
      </c>
      <c r="C170" s="8" t="s">
        <v>698</v>
      </c>
      <c r="D170" s="8" t="s">
        <v>50</v>
      </c>
      <c r="E170" s="8" t="s">
        <v>70</v>
      </c>
      <c r="F170" s="8" t="s">
        <v>53</v>
      </c>
      <c r="G170" s="9">
        <v>2000.0</v>
      </c>
      <c r="H170" s="9">
        <v>40.0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>
        <v>167.0</v>
      </c>
      <c r="B171" s="5" t="s">
        <v>547</v>
      </c>
      <c r="C171" s="8" t="s">
        <v>548</v>
      </c>
      <c r="D171" s="8" t="s">
        <v>60</v>
      </c>
      <c r="E171" s="8" t="s">
        <v>61</v>
      </c>
      <c r="F171" s="8" t="s">
        <v>53</v>
      </c>
      <c r="G171" s="9">
        <v>300.0</v>
      </c>
      <c r="H171" s="9">
        <v>109.2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>
        <v>168.0</v>
      </c>
      <c r="B172" s="5" t="s">
        <v>549</v>
      </c>
      <c r="C172" s="8" t="s">
        <v>550</v>
      </c>
      <c r="D172" s="8" t="s">
        <v>60</v>
      </c>
      <c r="E172" s="8" t="s">
        <v>61</v>
      </c>
      <c r="F172" s="8" t="s">
        <v>53</v>
      </c>
      <c r="G172" s="9">
        <v>4000.0</v>
      </c>
      <c r="H172" s="9">
        <v>148.05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>
        <v>169.0</v>
      </c>
      <c r="B173" s="5" t="s">
        <v>551</v>
      </c>
      <c r="C173" s="8" t="s">
        <v>552</v>
      </c>
      <c r="D173" s="8" t="s">
        <v>50</v>
      </c>
      <c r="E173" s="8" t="s">
        <v>148</v>
      </c>
      <c r="F173" s="8" t="s">
        <v>53</v>
      </c>
      <c r="G173" s="9">
        <v>4933.0</v>
      </c>
      <c r="H173" s="9">
        <v>32.66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>
        <v>170.0</v>
      </c>
      <c r="B174" s="5" t="s">
        <v>707</v>
      </c>
      <c r="C174" s="8" t="s">
        <v>708</v>
      </c>
      <c r="D174" s="8" t="s">
        <v>50</v>
      </c>
      <c r="E174" s="8" t="s">
        <v>148</v>
      </c>
      <c r="F174" s="8" t="s">
        <v>53</v>
      </c>
      <c r="G174" s="13"/>
      <c r="H174" s="9">
        <v>0.0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>
        <v>171.0</v>
      </c>
      <c r="B175" s="5" t="s">
        <v>710</v>
      </c>
      <c r="C175" s="8" t="s">
        <v>712</v>
      </c>
      <c r="D175" s="8" t="s">
        <v>50</v>
      </c>
      <c r="E175" s="8" t="s">
        <v>148</v>
      </c>
      <c r="F175" s="8" t="s">
        <v>53</v>
      </c>
      <c r="G175" s="13"/>
      <c r="H175" s="9">
        <v>0.0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>
        <v>172.0</v>
      </c>
      <c r="B176" s="5" t="s">
        <v>713</v>
      </c>
      <c r="C176" s="8" t="s">
        <v>715</v>
      </c>
      <c r="D176" s="8" t="s">
        <v>50</v>
      </c>
      <c r="E176" s="8" t="s">
        <v>148</v>
      </c>
      <c r="F176" s="8" t="s">
        <v>53</v>
      </c>
      <c r="G176" s="13"/>
      <c r="H176" s="9">
        <v>0.0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>
        <v>173.0</v>
      </c>
      <c r="B177" s="5" t="s">
        <v>718</v>
      </c>
      <c r="C177" s="8" t="s">
        <v>720</v>
      </c>
      <c r="D177" s="8" t="s">
        <v>50</v>
      </c>
      <c r="E177" s="8" t="s">
        <v>148</v>
      </c>
      <c r="F177" s="8" t="s">
        <v>53</v>
      </c>
      <c r="G177" s="13"/>
      <c r="H177" s="9">
        <v>0.0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>
        <v>174.0</v>
      </c>
      <c r="B178" s="5" t="s">
        <v>721</v>
      </c>
      <c r="C178" s="8" t="s">
        <v>723</v>
      </c>
      <c r="D178" s="8" t="s">
        <v>60</v>
      </c>
      <c r="E178" s="8" t="s">
        <v>61</v>
      </c>
      <c r="F178" s="8" t="s">
        <v>38</v>
      </c>
      <c r="G178" s="9">
        <v>192.0</v>
      </c>
      <c r="H178" s="9">
        <v>3638.25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>
        <v>175.0</v>
      </c>
      <c r="B179" s="5" t="s">
        <v>554</v>
      </c>
      <c r="C179" s="8" t="s">
        <v>555</v>
      </c>
      <c r="D179" s="8" t="s">
        <v>208</v>
      </c>
      <c r="E179" s="8" t="s">
        <v>192</v>
      </c>
      <c r="F179" s="8" t="s">
        <v>38</v>
      </c>
      <c r="G179" s="9">
        <v>69.0</v>
      </c>
      <c r="H179" s="9">
        <v>315.0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>
        <v>176.0</v>
      </c>
      <c r="B180" s="5" t="s">
        <v>556</v>
      </c>
      <c r="C180" s="8" t="s">
        <v>557</v>
      </c>
      <c r="D180" s="8" t="s">
        <v>208</v>
      </c>
      <c r="E180" s="8" t="s">
        <v>192</v>
      </c>
      <c r="F180" s="8" t="s">
        <v>558</v>
      </c>
      <c r="G180" s="9">
        <v>0.0</v>
      </c>
      <c r="H180" s="9">
        <v>13125.0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>
        <v>177.0</v>
      </c>
      <c r="B181" s="5" t="s">
        <v>731</v>
      </c>
      <c r="C181" s="8" t="s">
        <v>733</v>
      </c>
      <c r="D181" s="8" t="s">
        <v>208</v>
      </c>
      <c r="E181" s="8" t="s">
        <v>192</v>
      </c>
      <c r="F181" s="8" t="s">
        <v>38</v>
      </c>
      <c r="G181" s="13"/>
      <c r="H181" s="9">
        <v>0.0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>
        <v>178.0</v>
      </c>
      <c r="B182" s="5" t="s">
        <v>735</v>
      </c>
      <c r="C182" s="8" t="s">
        <v>736</v>
      </c>
      <c r="D182" s="8" t="s">
        <v>208</v>
      </c>
      <c r="E182" s="8" t="s">
        <v>192</v>
      </c>
      <c r="F182" s="8" t="s">
        <v>38</v>
      </c>
      <c r="G182" s="13"/>
      <c r="H182" s="9">
        <v>1100.0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>
        <v>179.0</v>
      </c>
      <c r="B183" s="5" t="s">
        <v>559</v>
      </c>
      <c r="C183" s="8" t="s">
        <v>560</v>
      </c>
      <c r="D183" s="8" t="s">
        <v>208</v>
      </c>
      <c r="E183" s="8" t="s">
        <v>192</v>
      </c>
      <c r="F183" s="8" t="s">
        <v>45</v>
      </c>
      <c r="G183" s="9">
        <v>1.0</v>
      </c>
      <c r="H183" s="9">
        <v>14960.0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>
        <v>180.0</v>
      </c>
      <c r="B184" s="5" t="s">
        <v>561</v>
      </c>
      <c r="C184" s="8" t="s">
        <v>562</v>
      </c>
      <c r="D184" s="8" t="s">
        <v>35</v>
      </c>
      <c r="E184" s="8" t="s">
        <v>119</v>
      </c>
      <c r="F184" s="8" t="s">
        <v>38</v>
      </c>
      <c r="G184" s="13"/>
      <c r="H184" s="9">
        <v>0.0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>
        <v>181.0</v>
      </c>
      <c r="B185" s="5" t="s">
        <v>563</v>
      </c>
      <c r="C185" s="8" t="s">
        <v>564</v>
      </c>
      <c r="D185" s="8" t="s">
        <v>35</v>
      </c>
      <c r="E185" s="8" t="s">
        <v>119</v>
      </c>
      <c r="F185" s="8" t="s">
        <v>38</v>
      </c>
      <c r="G185" s="9">
        <v>144.0</v>
      </c>
      <c r="H185" s="9">
        <v>961.96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>
        <v>182.0</v>
      </c>
      <c r="B186" s="5" t="s">
        <v>743</v>
      </c>
      <c r="C186" s="8" t="s">
        <v>744</v>
      </c>
      <c r="D186" s="8" t="s">
        <v>60</v>
      </c>
      <c r="E186" s="8" t="s">
        <v>61</v>
      </c>
      <c r="F186" s="8" t="s">
        <v>745</v>
      </c>
      <c r="G186" s="9">
        <v>0.0</v>
      </c>
      <c r="H186" s="9">
        <v>0.0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>
        <v>183.0</v>
      </c>
      <c r="B187" s="5" t="s">
        <v>567</v>
      </c>
      <c r="C187" s="8" t="s">
        <v>568</v>
      </c>
      <c r="D187" s="8" t="s">
        <v>50</v>
      </c>
      <c r="E187" s="8" t="s">
        <v>293</v>
      </c>
      <c r="F187" s="8" t="s">
        <v>53</v>
      </c>
      <c r="G187" s="9">
        <v>680.0</v>
      </c>
      <c r="H187" s="9">
        <v>173.87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>
        <v>184.0</v>
      </c>
      <c r="B188" s="5" t="s">
        <v>570</v>
      </c>
      <c r="C188" s="8" t="s">
        <v>571</v>
      </c>
      <c r="D188" s="8" t="s">
        <v>50</v>
      </c>
      <c r="E188" s="8" t="s">
        <v>293</v>
      </c>
      <c r="F188" s="8" t="s">
        <v>53</v>
      </c>
      <c r="G188" s="9">
        <v>690.0</v>
      </c>
      <c r="H188" s="9">
        <v>173.87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>
        <v>185.0</v>
      </c>
      <c r="B189" s="5" t="s">
        <v>572</v>
      </c>
      <c r="C189" s="8" t="s">
        <v>573</v>
      </c>
      <c r="D189" s="8" t="s">
        <v>50</v>
      </c>
      <c r="E189" s="8" t="s">
        <v>293</v>
      </c>
      <c r="F189" s="8" t="s">
        <v>53</v>
      </c>
      <c r="G189" s="9">
        <v>885.0</v>
      </c>
      <c r="H189" s="9">
        <v>135.48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>
        <v>186.0</v>
      </c>
      <c r="B190" s="5" t="s">
        <v>575</v>
      </c>
      <c r="C190" s="8" t="s">
        <v>576</v>
      </c>
      <c r="D190" s="8" t="s">
        <v>50</v>
      </c>
      <c r="E190" s="8" t="s">
        <v>293</v>
      </c>
      <c r="F190" s="8" t="s">
        <v>53</v>
      </c>
      <c r="G190" s="9">
        <v>3287.0</v>
      </c>
      <c r="H190" s="9">
        <v>104.3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>
        <v>187.0</v>
      </c>
      <c r="B191" s="5" t="s">
        <v>577</v>
      </c>
      <c r="C191" s="8" t="s">
        <v>578</v>
      </c>
      <c r="D191" s="8" t="s">
        <v>50</v>
      </c>
      <c r="E191" s="8" t="s">
        <v>293</v>
      </c>
      <c r="F191" s="8" t="s">
        <v>53</v>
      </c>
      <c r="G191" s="9">
        <v>122.0</v>
      </c>
      <c r="H191" s="9">
        <v>104.3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>
        <v>188.0</v>
      </c>
      <c r="B192" s="5" t="s">
        <v>579</v>
      </c>
      <c r="C192" s="8" t="s">
        <v>580</v>
      </c>
      <c r="D192" s="8" t="s">
        <v>50</v>
      </c>
      <c r="E192" s="8" t="s">
        <v>293</v>
      </c>
      <c r="F192" s="8" t="s">
        <v>53</v>
      </c>
      <c r="G192" s="9">
        <v>760.0</v>
      </c>
      <c r="H192" s="9">
        <v>104.3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>
        <v>189.0</v>
      </c>
      <c r="B193" s="5" t="s">
        <v>581</v>
      </c>
      <c r="C193" s="8" t="s">
        <v>582</v>
      </c>
      <c r="D193" s="8" t="s">
        <v>50</v>
      </c>
      <c r="E193" s="8" t="s">
        <v>293</v>
      </c>
      <c r="F193" s="8" t="s">
        <v>53</v>
      </c>
      <c r="G193" s="9">
        <v>1465.0</v>
      </c>
      <c r="H193" s="9">
        <v>104.3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>
        <v>190.0</v>
      </c>
      <c r="B194" s="5" t="s">
        <v>583</v>
      </c>
      <c r="C194" s="8" t="s">
        <v>584</v>
      </c>
      <c r="D194" s="8" t="s">
        <v>50</v>
      </c>
      <c r="E194" s="8" t="s">
        <v>293</v>
      </c>
      <c r="F194" s="8" t="s">
        <v>53</v>
      </c>
      <c r="G194" s="9">
        <v>386.0</v>
      </c>
      <c r="H194" s="9">
        <v>102.15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>
        <v>191.0</v>
      </c>
      <c r="B195" s="5" t="s">
        <v>585</v>
      </c>
      <c r="C195" s="8" t="s">
        <v>586</v>
      </c>
      <c r="D195" s="8" t="s">
        <v>50</v>
      </c>
      <c r="E195" s="8" t="s">
        <v>293</v>
      </c>
      <c r="F195" s="8" t="s">
        <v>53</v>
      </c>
      <c r="G195" s="9">
        <v>127.0</v>
      </c>
      <c r="H195" s="9">
        <v>104.3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>
        <v>192.0</v>
      </c>
      <c r="B196" s="5" t="s">
        <v>587</v>
      </c>
      <c r="C196" s="8" t="s">
        <v>588</v>
      </c>
      <c r="D196" s="8" t="s">
        <v>50</v>
      </c>
      <c r="E196" s="8" t="s">
        <v>293</v>
      </c>
      <c r="F196" s="8" t="s">
        <v>53</v>
      </c>
      <c r="G196" s="9">
        <v>251.0</v>
      </c>
      <c r="H196" s="9">
        <v>104.3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>
        <v>193.0</v>
      </c>
      <c r="B197" s="5" t="s">
        <v>589</v>
      </c>
      <c r="C197" s="8" t="s">
        <v>590</v>
      </c>
      <c r="D197" s="8" t="s">
        <v>50</v>
      </c>
      <c r="E197" s="8" t="s">
        <v>293</v>
      </c>
      <c r="F197" s="8" t="s">
        <v>53</v>
      </c>
      <c r="G197" s="9">
        <v>790.0</v>
      </c>
      <c r="H197" s="9">
        <v>167.66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>
        <v>194.0</v>
      </c>
      <c r="B198" s="5" t="s">
        <v>591</v>
      </c>
      <c r="C198" s="8" t="s">
        <v>592</v>
      </c>
      <c r="D198" s="8" t="s">
        <v>50</v>
      </c>
      <c r="E198" s="8" t="s">
        <v>293</v>
      </c>
      <c r="F198" s="8" t="s">
        <v>53</v>
      </c>
      <c r="G198" s="9">
        <v>664.0</v>
      </c>
      <c r="H198" s="9">
        <v>104.3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>
        <v>195.0</v>
      </c>
      <c r="B199" s="5" t="s">
        <v>595</v>
      </c>
      <c r="C199" s="8" t="s">
        <v>596</v>
      </c>
      <c r="D199" s="8" t="s">
        <v>50</v>
      </c>
      <c r="E199" s="8" t="s">
        <v>293</v>
      </c>
      <c r="F199" s="8" t="s">
        <v>53</v>
      </c>
      <c r="G199" s="9">
        <v>820.0</v>
      </c>
      <c r="H199" s="9">
        <v>104.3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>
        <v>196.0</v>
      </c>
      <c r="B200" s="5" t="s">
        <v>601</v>
      </c>
      <c r="C200" s="8" t="s">
        <v>602</v>
      </c>
      <c r="D200" s="8" t="s">
        <v>50</v>
      </c>
      <c r="E200" s="8" t="s">
        <v>293</v>
      </c>
      <c r="F200" s="8" t="s">
        <v>53</v>
      </c>
      <c r="G200" s="9">
        <v>161.0</v>
      </c>
      <c r="H200" s="9">
        <v>167.66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>
        <v>197.0</v>
      </c>
      <c r="B201" s="5" t="s">
        <v>603</v>
      </c>
      <c r="C201" s="8" t="s">
        <v>604</v>
      </c>
      <c r="D201" s="8" t="s">
        <v>50</v>
      </c>
      <c r="E201" s="8" t="s">
        <v>293</v>
      </c>
      <c r="F201" s="8" t="s">
        <v>53</v>
      </c>
      <c r="G201" s="9">
        <v>647.0</v>
      </c>
      <c r="H201" s="9">
        <v>104.3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>
        <v>198.0</v>
      </c>
      <c r="B202" s="5" t="s">
        <v>607</v>
      </c>
      <c r="C202" s="8" t="s">
        <v>608</v>
      </c>
      <c r="D202" s="8" t="s">
        <v>50</v>
      </c>
      <c r="E202" s="8" t="s">
        <v>293</v>
      </c>
      <c r="F202" s="8" t="s">
        <v>53</v>
      </c>
      <c r="G202" s="9">
        <v>1331.0</v>
      </c>
      <c r="H202" s="9">
        <v>104.3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>
        <v>199.0</v>
      </c>
      <c r="B203" s="5" t="s">
        <v>611</v>
      </c>
      <c r="C203" s="8" t="s">
        <v>612</v>
      </c>
      <c r="D203" s="8" t="s">
        <v>50</v>
      </c>
      <c r="E203" s="8" t="s">
        <v>293</v>
      </c>
      <c r="F203" s="8" t="s">
        <v>53</v>
      </c>
      <c r="G203" s="9">
        <v>686.0</v>
      </c>
      <c r="H203" s="9">
        <v>94.28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>
        <v>200.0</v>
      </c>
      <c r="B204" s="5" t="s">
        <v>616</v>
      </c>
      <c r="C204" s="8" t="s">
        <v>617</v>
      </c>
      <c r="D204" s="8" t="s">
        <v>50</v>
      </c>
      <c r="E204" s="8" t="s">
        <v>293</v>
      </c>
      <c r="F204" s="8" t="s">
        <v>53</v>
      </c>
      <c r="G204" s="9">
        <v>322.0</v>
      </c>
      <c r="H204" s="9">
        <v>182.1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>
        <v>201.0</v>
      </c>
      <c r="B205" s="5" t="s">
        <v>619</v>
      </c>
      <c r="C205" s="8" t="s">
        <v>620</v>
      </c>
      <c r="D205" s="8" t="s">
        <v>50</v>
      </c>
      <c r="E205" s="8" t="s">
        <v>293</v>
      </c>
      <c r="F205" s="8" t="s">
        <v>53</v>
      </c>
      <c r="G205" s="9">
        <v>268.0</v>
      </c>
      <c r="H205" s="9">
        <v>100.76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>
        <v>202.0</v>
      </c>
      <c r="B206" s="5" t="s">
        <v>622</v>
      </c>
      <c r="C206" s="8" t="s">
        <v>623</v>
      </c>
      <c r="D206" s="8" t="s">
        <v>50</v>
      </c>
      <c r="E206" s="8" t="s">
        <v>293</v>
      </c>
      <c r="F206" s="8" t="s">
        <v>53</v>
      </c>
      <c r="G206" s="9">
        <v>0.0</v>
      </c>
      <c r="H206" s="9">
        <v>104.69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>
        <v>203.0</v>
      </c>
      <c r="B207" s="5" t="s">
        <v>625</v>
      </c>
      <c r="C207" s="8" t="s">
        <v>626</v>
      </c>
      <c r="D207" s="8" t="s">
        <v>50</v>
      </c>
      <c r="E207" s="8" t="s">
        <v>293</v>
      </c>
      <c r="F207" s="8" t="s">
        <v>53</v>
      </c>
      <c r="G207" s="9">
        <v>781.0</v>
      </c>
      <c r="H207" s="9">
        <v>104.69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>
        <v>204.0</v>
      </c>
      <c r="B208" s="5" t="s">
        <v>628</v>
      </c>
      <c r="C208" s="8" t="s">
        <v>630</v>
      </c>
      <c r="D208" s="8" t="s">
        <v>50</v>
      </c>
      <c r="E208" s="8" t="s">
        <v>293</v>
      </c>
      <c r="F208" s="8" t="s">
        <v>53</v>
      </c>
      <c r="G208" s="9">
        <v>665.0</v>
      </c>
      <c r="H208" s="9">
        <v>104.69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>
        <v>205.0</v>
      </c>
      <c r="B209" s="5" t="s">
        <v>631</v>
      </c>
      <c r="C209" s="8" t="s">
        <v>632</v>
      </c>
      <c r="D209" s="8" t="s">
        <v>50</v>
      </c>
      <c r="E209" s="8" t="s">
        <v>293</v>
      </c>
      <c r="F209" s="8" t="s">
        <v>53</v>
      </c>
      <c r="G209" s="9">
        <v>85.0</v>
      </c>
      <c r="H209" s="9">
        <v>104.69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>
        <v>206.0</v>
      </c>
      <c r="B210" s="5" t="s">
        <v>633</v>
      </c>
      <c r="C210" s="8" t="s">
        <v>634</v>
      </c>
      <c r="D210" s="8" t="s">
        <v>50</v>
      </c>
      <c r="E210" s="8" t="s">
        <v>293</v>
      </c>
      <c r="F210" s="8" t="s">
        <v>53</v>
      </c>
      <c r="G210" s="13"/>
      <c r="H210" s="9">
        <v>104.69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>
        <v>207.0</v>
      </c>
      <c r="B211" s="5" t="s">
        <v>635</v>
      </c>
      <c r="C211" s="8" t="s">
        <v>637</v>
      </c>
      <c r="D211" s="8" t="s">
        <v>50</v>
      </c>
      <c r="E211" s="8" t="s">
        <v>293</v>
      </c>
      <c r="F211" s="8" t="s">
        <v>53</v>
      </c>
      <c r="G211" s="9">
        <v>823.0</v>
      </c>
      <c r="H211" s="9">
        <v>104.69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>
        <v>208.0</v>
      </c>
      <c r="B212" s="5" t="s">
        <v>639</v>
      </c>
      <c r="C212" s="8" t="s">
        <v>641</v>
      </c>
      <c r="D212" s="8" t="s">
        <v>50</v>
      </c>
      <c r="E212" s="8" t="s">
        <v>293</v>
      </c>
      <c r="F212" s="8" t="s">
        <v>53</v>
      </c>
      <c r="G212" s="9">
        <v>645.0</v>
      </c>
      <c r="H212" s="9">
        <v>27.27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>
        <v>209.0</v>
      </c>
      <c r="B213" s="5" t="s">
        <v>746</v>
      </c>
      <c r="C213" s="8" t="s">
        <v>747</v>
      </c>
      <c r="D213" s="8" t="s">
        <v>50</v>
      </c>
      <c r="E213" s="8" t="s">
        <v>293</v>
      </c>
      <c r="F213" s="8" t="s">
        <v>53</v>
      </c>
      <c r="G213" s="13"/>
      <c r="H213" s="9">
        <v>0.0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>
        <v>210.0</v>
      </c>
      <c r="B214" s="5" t="s">
        <v>748</v>
      </c>
      <c r="C214" s="8" t="s">
        <v>749</v>
      </c>
      <c r="D214" s="8" t="s">
        <v>60</v>
      </c>
      <c r="E214" s="8" t="s">
        <v>61</v>
      </c>
      <c r="F214" s="8" t="s">
        <v>53</v>
      </c>
      <c r="G214" s="9">
        <v>1000.0</v>
      </c>
      <c r="H214" s="9">
        <v>61.5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>
        <v>211.0</v>
      </c>
      <c r="B215" s="5" t="s">
        <v>649</v>
      </c>
      <c r="C215" s="8" t="s">
        <v>651</v>
      </c>
      <c r="D215" s="8" t="s">
        <v>60</v>
      </c>
      <c r="E215" s="8" t="s">
        <v>61</v>
      </c>
      <c r="F215" s="8" t="s">
        <v>53</v>
      </c>
      <c r="G215" s="9">
        <v>10250.0</v>
      </c>
      <c r="H215" s="9">
        <v>64.8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>
        <v>212.0</v>
      </c>
      <c r="B216" s="5" t="s">
        <v>750</v>
      </c>
      <c r="C216" s="8" t="s">
        <v>751</v>
      </c>
      <c r="D216" s="8" t="s">
        <v>50</v>
      </c>
      <c r="E216" s="8" t="s">
        <v>51</v>
      </c>
      <c r="F216" s="8" t="s">
        <v>53</v>
      </c>
      <c r="G216" s="9">
        <v>8100.0</v>
      </c>
      <c r="H216" s="9">
        <v>33.0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>
        <v>213.0</v>
      </c>
      <c r="B217" s="5" t="s">
        <v>652</v>
      </c>
      <c r="C217" s="8" t="s">
        <v>653</v>
      </c>
      <c r="D217" s="8" t="s">
        <v>60</v>
      </c>
      <c r="E217" s="8" t="s">
        <v>61</v>
      </c>
      <c r="F217" s="8" t="s">
        <v>53</v>
      </c>
      <c r="G217" s="9">
        <v>14847.0</v>
      </c>
      <c r="H217" s="9">
        <v>24.26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>
        <v>214.0</v>
      </c>
      <c r="B218" s="5" t="s">
        <v>654</v>
      </c>
      <c r="C218" s="8" t="s">
        <v>655</v>
      </c>
      <c r="D218" s="8" t="s">
        <v>60</v>
      </c>
      <c r="E218" s="8" t="s">
        <v>61</v>
      </c>
      <c r="F218" s="8" t="s">
        <v>53</v>
      </c>
      <c r="G218" s="9">
        <v>6595.0</v>
      </c>
      <c r="H218" s="9">
        <v>23.26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>
        <v>215.0</v>
      </c>
      <c r="B219" s="5" t="s">
        <v>656</v>
      </c>
      <c r="C219" s="8" t="s">
        <v>657</v>
      </c>
      <c r="D219" s="8" t="s">
        <v>60</v>
      </c>
      <c r="E219" s="8" t="s">
        <v>61</v>
      </c>
      <c r="F219" s="8" t="s">
        <v>53</v>
      </c>
      <c r="G219" s="9">
        <v>28795.0</v>
      </c>
      <c r="H219" s="9">
        <v>15.44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>
        <v>216.0</v>
      </c>
      <c r="B220" s="5" t="s">
        <v>658</v>
      </c>
      <c r="C220" s="8" t="s">
        <v>659</v>
      </c>
      <c r="D220" s="8" t="s">
        <v>208</v>
      </c>
      <c r="E220" s="8" t="s">
        <v>192</v>
      </c>
      <c r="F220" s="8" t="s">
        <v>38</v>
      </c>
      <c r="G220" s="13"/>
      <c r="H220" s="9">
        <v>3618.75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>
        <v>217.0</v>
      </c>
      <c r="B221" s="5" t="s">
        <v>660</v>
      </c>
      <c r="C221" s="8" t="s">
        <v>661</v>
      </c>
      <c r="D221" s="8" t="s">
        <v>208</v>
      </c>
      <c r="E221" s="8" t="s">
        <v>192</v>
      </c>
      <c r="F221" s="8" t="s">
        <v>38</v>
      </c>
      <c r="G221" s="9">
        <v>156.0</v>
      </c>
      <c r="H221" s="9">
        <v>8010.42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>
        <v>218.0</v>
      </c>
      <c r="B222" s="5" t="s">
        <v>662</v>
      </c>
      <c r="C222" s="8" t="s">
        <v>663</v>
      </c>
      <c r="D222" s="8" t="s">
        <v>208</v>
      </c>
      <c r="E222" s="8" t="s">
        <v>192</v>
      </c>
      <c r="F222" s="8" t="s">
        <v>38</v>
      </c>
      <c r="G222" s="13"/>
      <c r="H222" s="9">
        <v>16287.75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>
        <v>219.0</v>
      </c>
      <c r="B223" s="5" t="s">
        <v>666</v>
      </c>
      <c r="C223" s="8" t="s">
        <v>667</v>
      </c>
      <c r="D223" s="8" t="s">
        <v>208</v>
      </c>
      <c r="E223" s="8" t="s">
        <v>192</v>
      </c>
      <c r="F223" s="8" t="s">
        <v>525</v>
      </c>
      <c r="G223" s="9">
        <v>98.0</v>
      </c>
      <c r="H223" s="9">
        <v>31500.0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>
        <v>220.0</v>
      </c>
      <c r="B224" s="5" t="s">
        <v>672</v>
      </c>
      <c r="C224" s="8" t="s">
        <v>673</v>
      </c>
      <c r="D224" s="8" t="s">
        <v>35</v>
      </c>
      <c r="E224" s="8" t="s">
        <v>141</v>
      </c>
      <c r="F224" s="8" t="s">
        <v>442</v>
      </c>
      <c r="G224" s="13"/>
      <c r="H224" s="9">
        <v>17000.0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>
        <v>221.0</v>
      </c>
      <c r="B225" s="5" t="s">
        <v>670</v>
      </c>
      <c r="C225" s="8" t="s">
        <v>671</v>
      </c>
      <c r="D225" s="8" t="s">
        <v>208</v>
      </c>
      <c r="E225" s="8" t="s">
        <v>192</v>
      </c>
      <c r="F225" s="8" t="s">
        <v>38</v>
      </c>
      <c r="G225" s="9">
        <v>558.0</v>
      </c>
      <c r="H225" s="9">
        <v>2166.0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>
        <v>222.0</v>
      </c>
      <c r="B226" s="5" t="s">
        <v>752</v>
      </c>
      <c r="C226" s="8" t="s">
        <v>753</v>
      </c>
      <c r="D226" s="8" t="s">
        <v>50</v>
      </c>
      <c r="E226" s="8" t="s">
        <v>70</v>
      </c>
      <c r="F226" s="8" t="s">
        <v>53</v>
      </c>
      <c r="G226" s="9">
        <v>940.0</v>
      </c>
      <c r="H226" s="9">
        <v>36.0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>
        <v>223.0</v>
      </c>
      <c r="B227" s="5" t="s">
        <v>674</v>
      </c>
      <c r="C227" s="8" t="s">
        <v>675</v>
      </c>
      <c r="D227" s="8" t="s">
        <v>60</v>
      </c>
      <c r="E227" s="8" t="s">
        <v>61</v>
      </c>
      <c r="F227" s="8" t="s">
        <v>53</v>
      </c>
      <c r="G227" s="9">
        <v>1965.0</v>
      </c>
      <c r="H227" s="9">
        <v>167.34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>
        <v>224.0</v>
      </c>
      <c r="B228" s="5" t="s">
        <v>679</v>
      </c>
      <c r="C228" s="8" t="s">
        <v>680</v>
      </c>
      <c r="D228" s="8" t="s">
        <v>50</v>
      </c>
      <c r="E228" s="8" t="s">
        <v>79</v>
      </c>
      <c r="F228" s="8" t="s">
        <v>53</v>
      </c>
      <c r="G228" s="9">
        <v>1240.0</v>
      </c>
      <c r="H228" s="9">
        <v>46.34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>
        <v>225.0</v>
      </c>
      <c r="B229" s="5" t="s">
        <v>682</v>
      </c>
      <c r="C229" s="8" t="s">
        <v>683</v>
      </c>
      <c r="D229" s="8" t="s">
        <v>50</v>
      </c>
      <c r="E229" s="8" t="s">
        <v>148</v>
      </c>
      <c r="F229" s="8" t="s">
        <v>53</v>
      </c>
      <c r="G229" s="9">
        <v>719.0</v>
      </c>
      <c r="H229" s="9">
        <v>82.03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>
        <v>226.0</v>
      </c>
      <c r="B230" s="5" t="s">
        <v>686</v>
      </c>
      <c r="C230" s="8" t="s">
        <v>687</v>
      </c>
      <c r="D230" s="8" t="s">
        <v>208</v>
      </c>
      <c r="E230" s="8" t="s">
        <v>192</v>
      </c>
      <c r="F230" s="8" t="s">
        <v>688</v>
      </c>
      <c r="G230" s="9">
        <v>1.0</v>
      </c>
      <c r="H230" s="9">
        <v>11360.0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>
        <v>227.0</v>
      </c>
      <c r="B231" s="5" t="s">
        <v>754</v>
      </c>
      <c r="C231" s="8" t="s">
        <v>755</v>
      </c>
      <c r="D231" s="8" t="s">
        <v>60</v>
      </c>
      <c r="E231" s="8" t="s">
        <v>61</v>
      </c>
      <c r="F231" s="8" t="s">
        <v>53</v>
      </c>
      <c r="G231" s="9">
        <v>1210.0</v>
      </c>
      <c r="H231" s="9">
        <v>750.0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>
        <v>228.0</v>
      </c>
      <c r="B232" s="5" t="s">
        <v>691</v>
      </c>
      <c r="C232" s="8" t="s">
        <v>692</v>
      </c>
      <c r="D232" s="8" t="s">
        <v>35</v>
      </c>
      <c r="E232" s="8" t="s">
        <v>119</v>
      </c>
      <c r="F232" s="8" t="s">
        <v>38</v>
      </c>
      <c r="G232" s="9">
        <v>170.0</v>
      </c>
      <c r="H232" s="9">
        <v>158.0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>
        <v>229.0</v>
      </c>
      <c r="B233" s="5" t="s">
        <v>693</v>
      </c>
      <c r="C233" s="8" t="s">
        <v>694</v>
      </c>
      <c r="D233" s="8" t="s">
        <v>35</v>
      </c>
      <c r="E233" s="8" t="s">
        <v>119</v>
      </c>
      <c r="F233" s="8" t="s">
        <v>38</v>
      </c>
      <c r="G233" s="9">
        <v>1070.0</v>
      </c>
      <c r="H233" s="9">
        <v>229.0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>
        <v>230.0</v>
      </c>
      <c r="B234" s="5" t="s">
        <v>695</v>
      </c>
      <c r="C234" s="8" t="s">
        <v>696</v>
      </c>
      <c r="D234" s="8" t="s">
        <v>35</v>
      </c>
      <c r="E234" s="8" t="s">
        <v>119</v>
      </c>
      <c r="F234" s="8" t="s">
        <v>38</v>
      </c>
      <c r="G234" s="9">
        <v>517.0</v>
      </c>
      <c r="H234" s="9">
        <v>313.01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>
        <v>231.0</v>
      </c>
      <c r="B235" s="5" t="s">
        <v>699</v>
      </c>
      <c r="C235" s="8" t="s">
        <v>700</v>
      </c>
      <c r="D235" s="8" t="s">
        <v>35</v>
      </c>
      <c r="E235" s="8" t="s">
        <v>119</v>
      </c>
      <c r="F235" s="8" t="s">
        <v>38</v>
      </c>
      <c r="G235" s="9">
        <v>61.0</v>
      </c>
      <c r="H235" s="9">
        <v>550.0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>
        <v>232.0</v>
      </c>
      <c r="B236" s="5" t="s">
        <v>703</v>
      </c>
      <c r="C236" s="8" t="s">
        <v>704</v>
      </c>
      <c r="D236" s="8" t="s">
        <v>35</v>
      </c>
      <c r="E236" s="8" t="s">
        <v>119</v>
      </c>
      <c r="F236" s="8" t="s">
        <v>38</v>
      </c>
      <c r="G236" s="9">
        <v>69.0</v>
      </c>
      <c r="H236" s="9">
        <v>288.75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>
        <v>233.0</v>
      </c>
      <c r="B237" s="5" t="s">
        <v>705</v>
      </c>
      <c r="C237" s="8" t="s">
        <v>706</v>
      </c>
      <c r="D237" s="8" t="s">
        <v>35</v>
      </c>
      <c r="E237" s="8" t="s">
        <v>119</v>
      </c>
      <c r="F237" s="8" t="s">
        <v>38</v>
      </c>
      <c r="G237" s="9">
        <v>49.0</v>
      </c>
      <c r="H237" s="9">
        <v>254.1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>
        <v>234.0</v>
      </c>
      <c r="B238" s="5" t="s">
        <v>709</v>
      </c>
      <c r="C238" s="8" t="s">
        <v>711</v>
      </c>
      <c r="D238" s="8" t="s">
        <v>35</v>
      </c>
      <c r="E238" s="8" t="s">
        <v>119</v>
      </c>
      <c r="F238" s="8" t="s">
        <v>38</v>
      </c>
      <c r="G238" s="13"/>
      <c r="H238" s="9">
        <v>1.0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>
        <v>235.0</v>
      </c>
      <c r="B239" s="5" t="s">
        <v>756</v>
      </c>
      <c r="C239" s="8" t="s">
        <v>757</v>
      </c>
      <c r="D239" s="8" t="s">
        <v>35</v>
      </c>
      <c r="E239" s="8" t="s">
        <v>119</v>
      </c>
      <c r="F239" s="8" t="s">
        <v>38</v>
      </c>
      <c r="G239" s="9">
        <v>226.0</v>
      </c>
      <c r="H239" s="9">
        <v>1.0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>
        <v>236.0</v>
      </c>
      <c r="B240" s="5" t="s">
        <v>714</v>
      </c>
      <c r="C240" s="8" t="s">
        <v>716</v>
      </c>
      <c r="D240" s="8" t="s">
        <v>50</v>
      </c>
      <c r="E240" s="8" t="s">
        <v>180</v>
      </c>
      <c r="F240" s="8" t="s">
        <v>53</v>
      </c>
      <c r="G240" s="9">
        <v>6306.0</v>
      </c>
      <c r="H240" s="9">
        <v>37.08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>
        <v>237.0</v>
      </c>
      <c r="B241" s="5" t="s">
        <v>717</v>
      </c>
      <c r="C241" s="8" t="s">
        <v>719</v>
      </c>
      <c r="D241" s="8" t="s">
        <v>50</v>
      </c>
      <c r="E241" s="8" t="s">
        <v>180</v>
      </c>
      <c r="F241" s="8" t="s">
        <v>53</v>
      </c>
      <c r="G241" s="9">
        <v>965.0</v>
      </c>
      <c r="H241" s="9">
        <v>51.0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>
        <v>238.0</v>
      </c>
      <c r="B242" s="5" t="s">
        <v>758</v>
      </c>
      <c r="C242" s="8" t="s">
        <v>759</v>
      </c>
      <c r="D242" s="8" t="s">
        <v>50</v>
      </c>
      <c r="E242" s="8" t="s">
        <v>148</v>
      </c>
      <c r="F242" s="8" t="s">
        <v>53</v>
      </c>
      <c r="G242" s="9">
        <v>120.0</v>
      </c>
      <c r="H242" s="9">
        <v>32.31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>
        <v>239.0</v>
      </c>
      <c r="B243" s="5" t="s">
        <v>760</v>
      </c>
      <c r="C243" s="8" t="s">
        <v>761</v>
      </c>
      <c r="D243" s="8" t="s">
        <v>762</v>
      </c>
      <c r="E243" s="8" t="s">
        <v>763</v>
      </c>
      <c r="F243" s="8" t="s">
        <v>38</v>
      </c>
      <c r="G243" s="9">
        <v>0.0</v>
      </c>
      <c r="H243" s="1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>
        <v>240.0</v>
      </c>
      <c r="B244" s="5" t="s">
        <v>764</v>
      </c>
      <c r="C244" s="8" t="s">
        <v>765</v>
      </c>
      <c r="D244" s="8" t="s">
        <v>762</v>
      </c>
      <c r="E244" s="8" t="s">
        <v>763</v>
      </c>
      <c r="F244" s="8" t="s">
        <v>38</v>
      </c>
      <c r="G244" s="9">
        <v>4.0</v>
      </c>
      <c r="H244" s="1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>
        <v>241.0</v>
      </c>
      <c r="B245" s="5" t="s">
        <v>766</v>
      </c>
      <c r="C245" s="8" t="s">
        <v>767</v>
      </c>
      <c r="D245" s="8" t="s">
        <v>762</v>
      </c>
      <c r="E245" s="8" t="s">
        <v>763</v>
      </c>
      <c r="F245" s="8" t="s">
        <v>38</v>
      </c>
      <c r="G245" s="13"/>
      <c r="H245" s="1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>
        <v>242.0</v>
      </c>
      <c r="B246" s="5" t="s">
        <v>768</v>
      </c>
      <c r="C246" s="8" t="s">
        <v>769</v>
      </c>
      <c r="D246" s="8" t="s">
        <v>762</v>
      </c>
      <c r="E246" s="8" t="s">
        <v>763</v>
      </c>
      <c r="F246" s="8" t="s">
        <v>38</v>
      </c>
      <c r="G246" s="13"/>
      <c r="H246" s="1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>
        <v>243.0</v>
      </c>
      <c r="B247" s="5" t="s">
        <v>770</v>
      </c>
      <c r="C247" s="8" t="s">
        <v>771</v>
      </c>
      <c r="D247" s="8" t="s">
        <v>762</v>
      </c>
      <c r="E247" s="8" t="s">
        <v>763</v>
      </c>
      <c r="F247" s="8" t="s">
        <v>38</v>
      </c>
      <c r="G247" s="13"/>
      <c r="H247" s="1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>
        <v>244.0</v>
      </c>
      <c r="B248" s="5" t="s">
        <v>772</v>
      </c>
      <c r="C248" s="8" t="s">
        <v>773</v>
      </c>
      <c r="D248" s="8" t="s">
        <v>762</v>
      </c>
      <c r="E248" s="8" t="s">
        <v>763</v>
      </c>
      <c r="F248" s="8" t="s">
        <v>38</v>
      </c>
      <c r="G248" s="9">
        <v>2.0</v>
      </c>
      <c r="H248" s="1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>
        <v>245.0</v>
      </c>
      <c r="B249" s="5" t="s">
        <v>774</v>
      </c>
      <c r="C249" s="8" t="s">
        <v>775</v>
      </c>
      <c r="D249" s="8" t="s">
        <v>762</v>
      </c>
      <c r="E249" s="8" t="s">
        <v>763</v>
      </c>
      <c r="F249" s="8" t="s">
        <v>38</v>
      </c>
      <c r="G249" s="9">
        <v>10.0</v>
      </c>
      <c r="H249" s="1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>
        <v>246.0</v>
      </c>
      <c r="B250" s="5" t="s">
        <v>776</v>
      </c>
      <c r="C250" s="8" t="s">
        <v>777</v>
      </c>
      <c r="D250" s="8" t="s">
        <v>762</v>
      </c>
      <c r="E250" s="8" t="s">
        <v>763</v>
      </c>
      <c r="F250" s="8" t="s">
        <v>38</v>
      </c>
      <c r="G250" s="9">
        <v>3.0</v>
      </c>
      <c r="H250" s="1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>
        <v>247.0</v>
      </c>
      <c r="B251" s="5" t="s">
        <v>778</v>
      </c>
      <c r="C251" s="8" t="s">
        <v>779</v>
      </c>
      <c r="D251" s="8" t="s">
        <v>762</v>
      </c>
      <c r="E251" s="8" t="s">
        <v>763</v>
      </c>
      <c r="F251" s="8" t="s">
        <v>38</v>
      </c>
      <c r="G251" s="9">
        <v>3.0</v>
      </c>
      <c r="H251" s="1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>
        <v>248.0</v>
      </c>
      <c r="B252" s="5" t="s">
        <v>780</v>
      </c>
      <c r="C252" s="8" t="s">
        <v>781</v>
      </c>
      <c r="D252" s="8" t="s">
        <v>762</v>
      </c>
      <c r="E252" s="8" t="s">
        <v>763</v>
      </c>
      <c r="F252" s="8" t="s">
        <v>38</v>
      </c>
      <c r="G252" s="13"/>
      <c r="H252" s="1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>
        <v>249.0</v>
      </c>
      <c r="B253" s="5" t="s">
        <v>782</v>
      </c>
      <c r="C253" s="8" t="s">
        <v>783</v>
      </c>
      <c r="D253" s="8" t="s">
        <v>762</v>
      </c>
      <c r="E253" s="8" t="s">
        <v>763</v>
      </c>
      <c r="F253" s="8" t="s">
        <v>38</v>
      </c>
      <c r="G253" s="9">
        <v>5.0</v>
      </c>
      <c r="H253" s="1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>
        <v>250.0</v>
      </c>
      <c r="B254" s="5" t="s">
        <v>784</v>
      </c>
      <c r="C254" s="8" t="s">
        <v>785</v>
      </c>
      <c r="D254" s="8" t="s">
        <v>762</v>
      </c>
      <c r="E254" s="8" t="s">
        <v>763</v>
      </c>
      <c r="F254" s="8" t="s">
        <v>38</v>
      </c>
      <c r="G254" s="9">
        <v>5.0</v>
      </c>
      <c r="H254" s="1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>
        <v>251.0</v>
      </c>
      <c r="B255" s="5" t="s">
        <v>786</v>
      </c>
      <c r="C255" s="8" t="s">
        <v>787</v>
      </c>
      <c r="D255" s="8" t="s">
        <v>762</v>
      </c>
      <c r="E255" s="8" t="s">
        <v>763</v>
      </c>
      <c r="F255" s="8" t="s">
        <v>38</v>
      </c>
      <c r="G255" s="13"/>
      <c r="H255" s="1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>
        <v>252.0</v>
      </c>
      <c r="B256" s="5" t="s">
        <v>788</v>
      </c>
      <c r="C256" s="8" t="s">
        <v>789</v>
      </c>
      <c r="D256" s="8" t="s">
        <v>762</v>
      </c>
      <c r="E256" s="8" t="s">
        <v>763</v>
      </c>
      <c r="F256" s="8" t="s">
        <v>38</v>
      </c>
      <c r="G256" s="9">
        <v>1.0</v>
      </c>
      <c r="H256" s="1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>
        <v>253.0</v>
      </c>
      <c r="B257" s="5" t="s">
        <v>790</v>
      </c>
      <c r="C257" s="8" t="s">
        <v>791</v>
      </c>
      <c r="D257" s="8" t="s">
        <v>762</v>
      </c>
      <c r="E257" s="8" t="s">
        <v>763</v>
      </c>
      <c r="F257" s="8" t="s">
        <v>38</v>
      </c>
      <c r="G257" s="9">
        <v>4.0</v>
      </c>
      <c r="H257" s="1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>
        <v>254.0</v>
      </c>
      <c r="B258" s="5" t="s">
        <v>792</v>
      </c>
      <c r="C258" s="8" t="s">
        <v>793</v>
      </c>
      <c r="D258" s="8" t="s">
        <v>762</v>
      </c>
      <c r="E258" s="8" t="s">
        <v>763</v>
      </c>
      <c r="F258" s="8" t="s">
        <v>38</v>
      </c>
      <c r="G258" s="13"/>
      <c r="H258" s="1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>
        <v>255.0</v>
      </c>
      <c r="B259" s="5" t="s">
        <v>794</v>
      </c>
      <c r="C259" s="8" t="s">
        <v>795</v>
      </c>
      <c r="D259" s="8" t="s">
        <v>762</v>
      </c>
      <c r="E259" s="8" t="s">
        <v>763</v>
      </c>
      <c r="F259" s="8" t="s">
        <v>38</v>
      </c>
      <c r="G259" s="13"/>
      <c r="H259" s="1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>
        <v>256.0</v>
      </c>
      <c r="B260" s="5" t="s">
        <v>796</v>
      </c>
      <c r="C260" s="8" t="s">
        <v>797</v>
      </c>
      <c r="D260" s="8" t="s">
        <v>762</v>
      </c>
      <c r="E260" s="8" t="s">
        <v>763</v>
      </c>
      <c r="F260" s="8" t="s">
        <v>38</v>
      </c>
      <c r="G260" s="13"/>
      <c r="H260" s="1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>
        <v>257.0</v>
      </c>
      <c r="B261" s="5" t="s">
        <v>798</v>
      </c>
      <c r="C261" s="8" t="s">
        <v>799</v>
      </c>
      <c r="D261" s="8" t="s">
        <v>762</v>
      </c>
      <c r="E261" s="8" t="s">
        <v>763</v>
      </c>
      <c r="F261" s="8" t="s">
        <v>38</v>
      </c>
      <c r="G261" s="13"/>
      <c r="H261" s="1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>
        <v>258.0</v>
      </c>
      <c r="B262" s="5" t="s">
        <v>800</v>
      </c>
      <c r="C262" s="8" t="s">
        <v>801</v>
      </c>
      <c r="D262" s="8" t="s">
        <v>762</v>
      </c>
      <c r="E262" s="8" t="s">
        <v>763</v>
      </c>
      <c r="F262" s="8" t="s">
        <v>38</v>
      </c>
      <c r="G262" s="13"/>
      <c r="H262" s="1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>
        <v>259.0</v>
      </c>
      <c r="B263" s="5" t="s">
        <v>802</v>
      </c>
      <c r="C263" s="8" t="s">
        <v>803</v>
      </c>
      <c r="D263" s="8" t="s">
        <v>762</v>
      </c>
      <c r="E263" s="8" t="s">
        <v>763</v>
      </c>
      <c r="F263" s="8" t="s">
        <v>38</v>
      </c>
      <c r="G263" s="13"/>
      <c r="H263" s="1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>
        <v>260.0</v>
      </c>
      <c r="B264" s="5" t="s">
        <v>804</v>
      </c>
      <c r="C264" s="8" t="s">
        <v>805</v>
      </c>
      <c r="D264" s="8" t="s">
        <v>133</v>
      </c>
      <c r="E264" s="8" t="s">
        <v>806</v>
      </c>
      <c r="F264" s="8" t="s">
        <v>53</v>
      </c>
      <c r="G264" s="12"/>
      <c r="H264" s="1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>
        <v>261.0</v>
      </c>
      <c r="B265" s="5" t="s">
        <v>807</v>
      </c>
      <c r="C265" s="8" t="s">
        <v>808</v>
      </c>
      <c r="D265" s="8" t="s">
        <v>133</v>
      </c>
      <c r="E265" s="8" t="s">
        <v>806</v>
      </c>
      <c r="F265" s="8" t="s">
        <v>53</v>
      </c>
      <c r="G265" s="12"/>
      <c r="H265" s="1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>
        <v>262.0</v>
      </c>
      <c r="B266" s="5" t="s">
        <v>809</v>
      </c>
      <c r="C266" s="8" t="s">
        <v>810</v>
      </c>
      <c r="D266" s="8" t="s">
        <v>133</v>
      </c>
      <c r="E266" s="8" t="s">
        <v>806</v>
      </c>
      <c r="F266" s="8" t="s">
        <v>53</v>
      </c>
      <c r="G266" s="12"/>
      <c r="H266" s="1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>
        <v>263.0</v>
      </c>
      <c r="B267" s="5" t="s">
        <v>811</v>
      </c>
      <c r="C267" s="8" t="s">
        <v>812</v>
      </c>
      <c r="D267" s="8" t="s">
        <v>133</v>
      </c>
      <c r="E267" s="8" t="s">
        <v>806</v>
      </c>
      <c r="F267" s="8" t="s">
        <v>53</v>
      </c>
      <c r="G267" s="12"/>
      <c r="H267" s="1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>
        <v>264.0</v>
      </c>
      <c r="B268" s="5" t="s">
        <v>813</v>
      </c>
      <c r="C268" s="8" t="s">
        <v>814</v>
      </c>
      <c r="D268" s="8" t="s">
        <v>133</v>
      </c>
      <c r="E268" s="8" t="s">
        <v>806</v>
      </c>
      <c r="F268" s="8" t="s">
        <v>53</v>
      </c>
      <c r="G268" s="12"/>
      <c r="H268" s="1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>
        <v>265.0</v>
      </c>
      <c r="B269" s="5" t="s">
        <v>815</v>
      </c>
      <c r="C269" s="8" t="s">
        <v>816</v>
      </c>
      <c r="D269" s="8" t="s">
        <v>133</v>
      </c>
      <c r="E269" s="8" t="s">
        <v>806</v>
      </c>
      <c r="F269" s="8" t="s">
        <v>53</v>
      </c>
      <c r="G269" s="12"/>
      <c r="H269" s="1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>
        <v>266.0</v>
      </c>
      <c r="B270" s="5" t="s">
        <v>817</v>
      </c>
      <c r="C270" s="8" t="s">
        <v>818</v>
      </c>
      <c r="D270" s="8" t="s">
        <v>133</v>
      </c>
      <c r="E270" s="8" t="s">
        <v>806</v>
      </c>
      <c r="F270" s="8" t="s">
        <v>53</v>
      </c>
      <c r="G270" s="12"/>
      <c r="H270" s="1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>
        <v>267.0</v>
      </c>
      <c r="B271" s="5" t="s">
        <v>819</v>
      </c>
      <c r="C271" s="8" t="s">
        <v>820</v>
      </c>
      <c r="D271" s="8" t="s">
        <v>133</v>
      </c>
      <c r="E271" s="8" t="s">
        <v>806</v>
      </c>
      <c r="F271" s="8" t="s">
        <v>53</v>
      </c>
      <c r="G271" s="12"/>
      <c r="H271" s="1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>
        <v>268.0</v>
      </c>
      <c r="B272" s="5" t="s">
        <v>821</v>
      </c>
      <c r="C272" s="8" t="s">
        <v>822</v>
      </c>
      <c r="D272" s="8" t="s">
        <v>133</v>
      </c>
      <c r="E272" s="8" t="s">
        <v>806</v>
      </c>
      <c r="F272" s="8" t="s">
        <v>53</v>
      </c>
      <c r="G272" s="12"/>
      <c r="H272" s="1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>
        <v>269.0</v>
      </c>
      <c r="B273" s="5" t="s">
        <v>823</v>
      </c>
      <c r="C273" s="8" t="s">
        <v>824</v>
      </c>
      <c r="D273" s="8" t="s">
        <v>133</v>
      </c>
      <c r="E273" s="8" t="s">
        <v>806</v>
      </c>
      <c r="F273" s="8" t="s">
        <v>53</v>
      </c>
      <c r="G273" s="12"/>
      <c r="H273" s="1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>
        <v>270.0</v>
      </c>
      <c r="B274" s="5" t="s">
        <v>825</v>
      </c>
      <c r="C274" s="8" t="s">
        <v>826</v>
      </c>
      <c r="D274" s="8" t="s">
        <v>133</v>
      </c>
      <c r="E274" s="8" t="s">
        <v>806</v>
      </c>
      <c r="F274" s="8" t="s">
        <v>53</v>
      </c>
      <c r="G274" s="12"/>
      <c r="H274" s="1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>
        <v>271.0</v>
      </c>
      <c r="B275" s="5" t="s">
        <v>827</v>
      </c>
      <c r="C275" s="8" t="s">
        <v>828</v>
      </c>
      <c r="D275" s="8" t="s">
        <v>133</v>
      </c>
      <c r="E275" s="8" t="s">
        <v>806</v>
      </c>
      <c r="F275" s="8" t="s">
        <v>53</v>
      </c>
      <c r="G275" s="12"/>
      <c r="H275" s="1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>
        <v>272.0</v>
      </c>
      <c r="B276" s="5" t="s">
        <v>829</v>
      </c>
      <c r="C276" s="8" t="s">
        <v>830</v>
      </c>
      <c r="D276" s="8" t="s">
        <v>133</v>
      </c>
      <c r="E276" s="8" t="s">
        <v>806</v>
      </c>
      <c r="F276" s="8" t="s">
        <v>53</v>
      </c>
      <c r="G276" s="12"/>
      <c r="H276" s="1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>
        <v>273.0</v>
      </c>
      <c r="B277" s="5" t="s">
        <v>831</v>
      </c>
      <c r="C277" s="8" t="s">
        <v>832</v>
      </c>
      <c r="D277" s="8" t="s">
        <v>133</v>
      </c>
      <c r="E277" s="8" t="s">
        <v>806</v>
      </c>
      <c r="F277" s="8" t="s">
        <v>53</v>
      </c>
      <c r="G277" s="12"/>
      <c r="H277" s="1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>
        <v>274.0</v>
      </c>
      <c r="B278" s="5" t="s">
        <v>833</v>
      </c>
      <c r="C278" s="8" t="s">
        <v>834</v>
      </c>
      <c r="D278" s="8" t="s">
        <v>133</v>
      </c>
      <c r="E278" s="8" t="s">
        <v>806</v>
      </c>
      <c r="F278" s="8" t="s">
        <v>53</v>
      </c>
      <c r="G278" s="12"/>
      <c r="H278" s="1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>
        <v>275.0</v>
      </c>
      <c r="B279" s="5" t="s">
        <v>835</v>
      </c>
      <c r="C279" s="8" t="s">
        <v>836</v>
      </c>
      <c r="D279" s="8" t="s">
        <v>133</v>
      </c>
      <c r="E279" s="8" t="s">
        <v>806</v>
      </c>
      <c r="F279" s="8" t="s">
        <v>53</v>
      </c>
      <c r="G279" s="12"/>
      <c r="H279" s="1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>
        <v>276.0</v>
      </c>
      <c r="B280" s="5" t="s">
        <v>837</v>
      </c>
      <c r="C280" s="8" t="s">
        <v>838</v>
      </c>
      <c r="D280" s="8" t="s">
        <v>133</v>
      </c>
      <c r="E280" s="8" t="s">
        <v>806</v>
      </c>
      <c r="F280" s="8" t="s">
        <v>53</v>
      </c>
      <c r="G280" s="12"/>
      <c r="H280" s="1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>
        <v>277.0</v>
      </c>
      <c r="B281" s="5" t="s">
        <v>839</v>
      </c>
      <c r="C281" s="8" t="s">
        <v>840</v>
      </c>
      <c r="D281" s="8" t="s">
        <v>133</v>
      </c>
      <c r="E281" s="8" t="s">
        <v>806</v>
      </c>
      <c r="F281" s="8" t="s">
        <v>53</v>
      </c>
      <c r="G281" s="12"/>
      <c r="H281" s="1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>
        <v>278.0</v>
      </c>
      <c r="B282" s="5" t="s">
        <v>841</v>
      </c>
      <c r="C282" s="8" t="s">
        <v>842</v>
      </c>
      <c r="D282" s="15" t="s">
        <v>133</v>
      </c>
      <c r="E282" s="16" t="s">
        <v>843</v>
      </c>
      <c r="F282" s="15" t="s">
        <v>53</v>
      </c>
      <c r="G282" s="12"/>
      <c r="H282" s="1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>
        <v>279.0</v>
      </c>
      <c r="B283" s="5" t="s">
        <v>844</v>
      </c>
      <c r="C283" s="8" t="s">
        <v>845</v>
      </c>
      <c r="D283" s="15" t="s">
        <v>133</v>
      </c>
      <c r="E283" s="16" t="s">
        <v>843</v>
      </c>
      <c r="F283" s="16" t="s">
        <v>846</v>
      </c>
      <c r="G283" s="12"/>
      <c r="H283" s="1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>
        <v>280.0</v>
      </c>
      <c r="B284" s="5" t="s">
        <v>847</v>
      </c>
      <c r="C284" s="8" t="s">
        <v>848</v>
      </c>
      <c r="D284" s="15" t="s">
        <v>133</v>
      </c>
      <c r="E284" s="16" t="s">
        <v>843</v>
      </c>
      <c r="F284" s="15" t="s">
        <v>53</v>
      </c>
      <c r="G284" s="12"/>
      <c r="H284" s="1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>
        <v>281.0</v>
      </c>
      <c r="B285" s="5" t="s">
        <v>849</v>
      </c>
      <c r="C285" s="8" t="s">
        <v>850</v>
      </c>
      <c r="D285" s="15" t="s">
        <v>133</v>
      </c>
      <c r="E285" s="16" t="s">
        <v>843</v>
      </c>
      <c r="F285" s="15" t="s">
        <v>53</v>
      </c>
      <c r="G285" s="12"/>
      <c r="H285" s="1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>
        <v>282.0</v>
      </c>
      <c r="B286" s="5" t="s">
        <v>851</v>
      </c>
      <c r="C286" s="8" t="s">
        <v>852</v>
      </c>
      <c r="D286" s="15" t="s">
        <v>133</v>
      </c>
      <c r="E286" s="16" t="s">
        <v>843</v>
      </c>
      <c r="F286" s="15" t="s">
        <v>53</v>
      </c>
      <c r="G286" s="12"/>
      <c r="H286" s="1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>
        <v>283.0</v>
      </c>
      <c r="B287" s="5" t="s">
        <v>853</v>
      </c>
      <c r="C287" s="8" t="s">
        <v>854</v>
      </c>
      <c r="D287" s="15" t="s">
        <v>133</v>
      </c>
      <c r="E287" s="16" t="s">
        <v>843</v>
      </c>
      <c r="F287" s="15" t="s">
        <v>53</v>
      </c>
      <c r="G287" s="12"/>
      <c r="H287" s="1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>
        <v>284.0</v>
      </c>
      <c r="B288" s="5" t="s">
        <v>855</v>
      </c>
      <c r="C288" s="8" t="s">
        <v>856</v>
      </c>
      <c r="D288" s="15" t="s">
        <v>133</v>
      </c>
      <c r="E288" s="16" t="s">
        <v>843</v>
      </c>
      <c r="F288" s="15" t="s">
        <v>53</v>
      </c>
      <c r="G288" s="12"/>
      <c r="H288" s="1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>
        <v>285.0</v>
      </c>
      <c r="B289" s="5" t="s">
        <v>857</v>
      </c>
      <c r="C289" s="8" t="s">
        <v>858</v>
      </c>
      <c r="D289" s="15" t="s">
        <v>133</v>
      </c>
      <c r="E289" s="16" t="s">
        <v>843</v>
      </c>
      <c r="F289" s="15" t="s">
        <v>53</v>
      </c>
      <c r="G289" s="12"/>
      <c r="H289" s="1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>
        <v>286.0</v>
      </c>
      <c r="B290" s="5" t="s">
        <v>859</v>
      </c>
      <c r="C290" s="8" t="s">
        <v>860</v>
      </c>
      <c r="D290" s="15" t="s">
        <v>133</v>
      </c>
      <c r="E290" s="16" t="s">
        <v>843</v>
      </c>
      <c r="F290" s="15" t="s">
        <v>53</v>
      </c>
      <c r="G290" s="12"/>
      <c r="H290" s="1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>
        <v>287.0</v>
      </c>
      <c r="B291" s="5" t="s">
        <v>861</v>
      </c>
      <c r="C291" s="8" t="s">
        <v>862</v>
      </c>
      <c r="D291" s="15" t="s">
        <v>133</v>
      </c>
      <c r="E291" s="16" t="s">
        <v>843</v>
      </c>
      <c r="F291" s="15" t="s">
        <v>53</v>
      </c>
      <c r="G291" s="12"/>
      <c r="H291" s="1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7.63"/>
    <col customWidth="1" min="3" max="3" width="19.0"/>
    <col customWidth="1" min="12" max="12" width="14.88"/>
  </cols>
  <sheetData>
    <row r="1">
      <c r="A1" s="1" t="s">
        <v>863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864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865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 t="s">
        <v>866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"/>
      <c r="B7" s="4"/>
      <c r="C7" s="4"/>
      <c r="D7" s="17" t="s">
        <v>867</v>
      </c>
      <c r="G7" s="18" t="s">
        <v>868</v>
      </c>
      <c r="K7" s="2"/>
      <c r="L7" s="4"/>
      <c r="M7" s="4"/>
      <c r="N7" s="4"/>
      <c r="O7" s="4"/>
      <c r="P7" s="4"/>
      <c r="Q7" s="4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" t="s">
        <v>15</v>
      </c>
      <c r="B8" s="19" t="s">
        <v>20</v>
      </c>
      <c r="C8" s="19" t="s">
        <v>869</v>
      </c>
      <c r="D8" s="19" t="s">
        <v>870</v>
      </c>
      <c r="E8" s="19" t="s">
        <v>871</v>
      </c>
      <c r="F8" s="19" t="s">
        <v>872</v>
      </c>
      <c r="G8" s="19" t="s">
        <v>873</v>
      </c>
      <c r="H8" s="19" t="s">
        <v>874</v>
      </c>
      <c r="I8" s="19" t="s">
        <v>875</v>
      </c>
      <c r="J8" s="19" t="s">
        <v>876</v>
      </c>
      <c r="K8" s="19" t="s">
        <v>877</v>
      </c>
      <c r="L8" s="19" t="s">
        <v>878</v>
      </c>
      <c r="M8" s="19" t="s">
        <v>879</v>
      </c>
      <c r="N8" s="19" t="s">
        <v>880</v>
      </c>
      <c r="O8" s="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" t="s">
        <v>115</v>
      </c>
      <c r="B9" s="4" t="s">
        <v>38</v>
      </c>
      <c r="C9" s="4">
        <v>121.0</v>
      </c>
      <c r="D9" s="4">
        <v>1050.0</v>
      </c>
      <c r="E9" s="4">
        <v>0.0</v>
      </c>
      <c r="F9" s="4">
        <v>0.0</v>
      </c>
      <c r="G9" s="4">
        <v>806.0</v>
      </c>
      <c r="H9" s="2"/>
      <c r="I9" s="4">
        <v>1.0</v>
      </c>
      <c r="J9" s="4">
        <v>0.0</v>
      </c>
      <c r="K9" s="2">
        <f t="shared" ref="K9:K21" si="1">C9+(D9+E9+F9)-(G9+H9+I9+J9)</f>
        <v>364</v>
      </c>
      <c r="L9" s="4">
        <v>364.0</v>
      </c>
      <c r="M9" s="4">
        <f t="shared" ref="M9:M21" si="2">L9-K9</f>
        <v>0</v>
      </c>
      <c r="N9" s="4"/>
      <c r="O9" s="2"/>
      <c r="P9" s="20"/>
      <c r="Q9" s="20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" t="s">
        <v>164</v>
      </c>
      <c r="B10" s="4" t="s">
        <v>38</v>
      </c>
      <c r="C10" s="4">
        <v>438.0</v>
      </c>
      <c r="D10" s="4">
        <v>9996.0</v>
      </c>
      <c r="E10" s="4">
        <v>0.0</v>
      </c>
      <c r="F10" s="4">
        <v>0.0</v>
      </c>
      <c r="G10" s="4">
        <v>8495.0</v>
      </c>
      <c r="H10" s="2"/>
      <c r="I10" s="4">
        <v>55.0</v>
      </c>
      <c r="J10" s="4">
        <v>29.0</v>
      </c>
      <c r="K10" s="2">
        <f t="shared" si="1"/>
        <v>1855</v>
      </c>
      <c r="L10" s="4">
        <v>1855.0</v>
      </c>
      <c r="M10" s="4">
        <f t="shared" si="2"/>
        <v>0</v>
      </c>
      <c r="N10" s="4"/>
      <c r="O10" s="2"/>
      <c r="P10" s="20"/>
      <c r="Q10" s="20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" t="s">
        <v>171</v>
      </c>
      <c r="B11" s="4" t="s">
        <v>38</v>
      </c>
      <c r="C11" s="4">
        <v>275.0</v>
      </c>
      <c r="D11" s="4">
        <v>2098.0</v>
      </c>
      <c r="E11" s="4">
        <v>0.0</v>
      </c>
      <c r="F11" s="4">
        <v>0.0</v>
      </c>
      <c r="G11" s="4">
        <v>1577.0</v>
      </c>
      <c r="H11" s="2"/>
      <c r="I11" s="4">
        <v>15.0</v>
      </c>
      <c r="J11" s="4">
        <v>0.0</v>
      </c>
      <c r="K11" s="2">
        <f t="shared" si="1"/>
        <v>781</v>
      </c>
      <c r="L11" s="4">
        <v>781.0</v>
      </c>
      <c r="M11" s="4">
        <f t="shared" si="2"/>
        <v>0</v>
      </c>
      <c r="N11" s="4"/>
      <c r="O11" s="2"/>
      <c r="P11" s="2"/>
      <c r="Q11" s="4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" t="s">
        <v>175</v>
      </c>
      <c r="B12" s="4" t="s">
        <v>38</v>
      </c>
      <c r="C12" s="4">
        <v>0.0</v>
      </c>
      <c r="D12" s="4">
        <v>0.0</v>
      </c>
      <c r="E12" s="4">
        <v>0.0</v>
      </c>
      <c r="F12" s="4">
        <v>0.0</v>
      </c>
      <c r="G12" s="4">
        <v>4.0</v>
      </c>
      <c r="H12" s="2"/>
      <c r="I12" s="4">
        <v>0.0</v>
      </c>
      <c r="J12" s="4">
        <v>0.0</v>
      </c>
      <c r="K12" s="2">
        <f t="shared" si="1"/>
        <v>-4</v>
      </c>
      <c r="L12" s="4">
        <v>-4.0</v>
      </c>
      <c r="M12" s="4">
        <f t="shared" si="2"/>
        <v>0</v>
      </c>
      <c r="N12" s="4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" t="s">
        <v>181</v>
      </c>
      <c r="B13" s="4" t="s">
        <v>38</v>
      </c>
      <c r="C13" s="4"/>
      <c r="D13" s="4"/>
      <c r="E13" s="4"/>
      <c r="F13" s="4"/>
      <c r="G13" s="4"/>
      <c r="H13" s="2"/>
      <c r="I13" s="4"/>
      <c r="J13" s="4"/>
      <c r="K13" s="2">
        <f t="shared" si="1"/>
        <v>0</v>
      </c>
      <c r="L13" s="4"/>
      <c r="M13" s="4">
        <f t="shared" si="2"/>
        <v>0</v>
      </c>
      <c r="N13" s="4"/>
      <c r="O13" s="2"/>
      <c r="P13" s="2"/>
      <c r="Q13" s="4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" t="s">
        <v>185</v>
      </c>
      <c r="B14" s="4" t="s">
        <v>38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2"/>
      <c r="I14" s="4">
        <v>0.0</v>
      </c>
      <c r="J14" s="4">
        <v>0.0</v>
      </c>
      <c r="K14" s="2">
        <f t="shared" si="1"/>
        <v>0</v>
      </c>
      <c r="L14" s="4">
        <v>0.0</v>
      </c>
      <c r="M14" s="4">
        <f t="shared" si="2"/>
        <v>0</v>
      </c>
      <c r="N14" s="4"/>
      <c r="O14" s="2"/>
      <c r="P14" s="2"/>
      <c r="Q14" s="4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" t="s">
        <v>881</v>
      </c>
      <c r="B15" s="4" t="s">
        <v>38</v>
      </c>
      <c r="C15" s="4"/>
      <c r="D15" s="4"/>
      <c r="E15" s="4"/>
      <c r="F15" s="4"/>
      <c r="G15" s="4"/>
      <c r="H15" s="2"/>
      <c r="I15" s="4"/>
      <c r="J15" s="4"/>
      <c r="K15" s="2">
        <f t="shared" si="1"/>
        <v>0</v>
      </c>
      <c r="L15" s="4"/>
      <c r="M15" s="4">
        <f t="shared" si="2"/>
        <v>0</v>
      </c>
      <c r="N15" s="4"/>
      <c r="O15" s="2"/>
      <c r="P15" s="2"/>
      <c r="Q15" s="4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" t="s">
        <v>341</v>
      </c>
      <c r="B16" s="4" t="s">
        <v>38</v>
      </c>
      <c r="C16" s="4">
        <v>232.0</v>
      </c>
      <c r="D16" s="4">
        <v>3080.0</v>
      </c>
      <c r="E16" s="4">
        <v>0.0</v>
      </c>
      <c r="F16" s="4">
        <v>0.0</v>
      </c>
      <c r="G16" s="4">
        <v>1966.0</v>
      </c>
      <c r="H16" s="2"/>
      <c r="I16" s="4">
        <v>1.0</v>
      </c>
      <c r="J16" s="4">
        <v>19.0</v>
      </c>
      <c r="K16" s="2">
        <f t="shared" si="1"/>
        <v>1326</v>
      </c>
      <c r="L16" s="4">
        <v>1326.0</v>
      </c>
      <c r="M16" s="4">
        <f t="shared" si="2"/>
        <v>0</v>
      </c>
      <c r="N16" s="4"/>
      <c r="O16" s="2"/>
      <c r="P16" s="2"/>
      <c r="Q16" s="4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" t="s">
        <v>178</v>
      </c>
      <c r="B17" s="4" t="s">
        <v>38</v>
      </c>
      <c r="C17" s="4">
        <v>3.0</v>
      </c>
      <c r="D17" s="4">
        <v>120.0</v>
      </c>
      <c r="E17" s="4">
        <v>0.0</v>
      </c>
      <c r="F17" s="4">
        <v>0.0</v>
      </c>
      <c r="G17" s="4">
        <v>100.0</v>
      </c>
      <c r="H17" s="2"/>
      <c r="I17" s="4">
        <v>1.0</v>
      </c>
      <c r="J17" s="4">
        <v>0.0</v>
      </c>
      <c r="K17" s="2">
        <f t="shared" si="1"/>
        <v>22</v>
      </c>
      <c r="L17" s="4">
        <v>22.0</v>
      </c>
      <c r="M17" s="4">
        <f t="shared" si="2"/>
        <v>0</v>
      </c>
      <c r="N17" s="4"/>
      <c r="O17" s="2"/>
      <c r="P17" s="2"/>
      <c r="Q17" s="4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" t="s">
        <v>283</v>
      </c>
      <c r="B18" s="4" t="s">
        <v>38</v>
      </c>
      <c r="C18" s="4">
        <v>124.0</v>
      </c>
      <c r="D18" s="4">
        <v>1800.0</v>
      </c>
      <c r="E18" s="4">
        <v>0.0</v>
      </c>
      <c r="F18" s="4">
        <v>0.0</v>
      </c>
      <c r="G18" s="4">
        <v>1540.0</v>
      </c>
      <c r="H18" s="2"/>
      <c r="I18" s="4">
        <v>21.0</v>
      </c>
      <c r="J18" s="4">
        <v>0.0</v>
      </c>
      <c r="K18" s="2">
        <f t="shared" si="1"/>
        <v>363</v>
      </c>
      <c r="L18" s="4">
        <v>363.0</v>
      </c>
      <c r="M18" s="4">
        <f t="shared" si="2"/>
        <v>0</v>
      </c>
      <c r="N18" s="4"/>
      <c r="O18" s="2"/>
      <c r="P18" s="2"/>
      <c r="Q18" s="4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" t="s">
        <v>372</v>
      </c>
      <c r="B19" s="4" t="s">
        <v>38</v>
      </c>
      <c r="C19" s="4">
        <v>155.0</v>
      </c>
      <c r="D19" s="4">
        <v>700.0</v>
      </c>
      <c r="E19" s="4">
        <v>0.0</v>
      </c>
      <c r="F19" s="4">
        <v>0.0</v>
      </c>
      <c r="G19" s="4">
        <v>360.0</v>
      </c>
      <c r="H19" s="2"/>
      <c r="I19" s="4">
        <v>0.0</v>
      </c>
      <c r="J19" s="4">
        <v>0.0</v>
      </c>
      <c r="K19" s="2">
        <f t="shared" si="1"/>
        <v>495</v>
      </c>
      <c r="L19" s="4">
        <v>495.0</v>
      </c>
      <c r="M19" s="4">
        <f t="shared" si="2"/>
        <v>0</v>
      </c>
      <c r="N19" s="4"/>
      <c r="O19" s="2"/>
      <c r="P19" s="2"/>
      <c r="Q19" s="4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" t="s">
        <v>375</v>
      </c>
      <c r="B20" s="4" t="s">
        <v>38</v>
      </c>
      <c r="C20" s="4">
        <v>500.0</v>
      </c>
      <c r="D20" s="4">
        <v>0.0</v>
      </c>
      <c r="E20" s="4">
        <v>0.0</v>
      </c>
      <c r="F20" s="4">
        <v>0.0</v>
      </c>
      <c r="G20" s="4">
        <v>385.0</v>
      </c>
      <c r="H20" s="2"/>
      <c r="I20" s="4">
        <v>0.0</v>
      </c>
      <c r="J20" s="4">
        <v>0.0</v>
      </c>
      <c r="K20" s="2">
        <f t="shared" si="1"/>
        <v>115</v>
      </c>
      <c r="L20" s="4">
        <v>115.0</v>
      </c>
      <c r="M20" s="4">
        <f t="shared" si="2"/>
        <v>0</v>
      </c>
      <c r="N20" s="4"/>
      <c r="O20" s="2"/>
      <c r="P20" s="2"/>
      <c r="Q20" s="4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" t="s">
        <v>503</v>
      </c>
      <c r="B21" s="4" t="s">
        <v>38</v>
      </c>
      <c r="C21" s="4">
        <v>125.0</v>
      </c>
      <c r="D21" s="4">
        <v>360.0</v>
      </c>
      <c r="E21" s="4">
        <v>0.0</v>
      </c>
      <c r="F21" s="4">
        <v>0.0</v>
      </c>
      <c r="G21" s="4">
        <v>360.0</v>
      </c>
      <c r="H21" s="2"/>
      <c r="I21" s="4">
        <v>5.0</v>
      </c>
      <c r="J21" s="4">
        <v>0.0</v>
      </c>
      <c r="K21" s="2">
        <f t="shared" si="1"/>
        <v>120</v>
      </c>
      <c r="L21" s="4">
        <v>120.0</v>
      </c>
      <c r="M21" s="4">
        <f t="shared" si="2"/>
        <v>0</v>
      </c>
      <c r="N21" s="4"/>
      <c r="O21" s="2"/>
      <c r="P21" s="2"/>
      <c r="Q21" s="4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" t="s">
        <v>636</v>
      </c>
      <c r="B22" s="4" t="s">
        <v>38</v>
      </c>
      <c r="C22" s="4"/>
      <c r="D22" s="4"/>
      <c r="E22" s="4"/>
      <c r="F22" s="4"/>
      <c r="G22" s="4"/>
      <c r="H22" s="2"/>
      <c r="I22" s="4"/>
      <c r="J22" s="4"/>
      <c r="K22" s="2"/>
      <c r="L22" s="4"/>
      <c r="M22" s="4"/>
      <c r="N22" s="4"/>
      <c r="O22" s="2"/>
      <c r="P22" s="2"/>
      <c r="Q22" s="4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" t="s">
        <v>640</v>
      </c>
      <c r="B23" s="4" t="s">
        <v>38</v>
      </c>
      <c r="C23" s="4"/>
      <c r="D23" s="4"/>
      <c r="E23" s="4"/>
      <c r="F23" s="4"/>
      <c r="G23" s="4"/>
      <c r="H23" s="2"/>
      <c r="I23" s="4"/>
      <c r="J23" s="4"/>
      <c r="K23" s="2"/>
      <c r="L23" s="4"/>
      <c r="M23" s="4"/>
      <c r="N23" s="4"/>
      <c r="O23" s="2"/>
      <c r="P23" s="2"/>
      <c r="Q23" s="4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autoFilter ref="$A$8:$AA$23">
    <sortState ref="A8:AA23">
      <sortCondition ref="A8:A23"/>
    </sortState>
  </autoFilter>
  <mergeCells count="2">
    <mergeCell ref="D7:F7"/>
    <mergeCell ref="G7:J7"/>
  </mergeCells>
  <drawing r:id="rId1"/>
</worksheet>
</file>